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coi\Desktop\"/>
    </mc:Choice>
  </mc:AlternateContent>
  <xr:revisionPtr revIDLastSave="0" documentId="13_ncr:1_{751E16C8-E399-443A-90D4-6E74EDEBE45C}" xr6:coauthVersionLast="47" xr6:coauthVersionMax="47" xr10:uidLastSave="{00000000-0000-0000-0000-000000000000}"/>
  <bookViews>
    <workbookView xWindow="5856" yWindow="2400" windowWidth="17280" windowHeight="9960" activeTab="3" xr2:uid="{00000000-000D-0000-FFFF-FFFF00000000}"/>
  </bookViews>
  <sheets>
    <sheet name="Dashboard" sheetId="1" r:id="rId1"/>
    <sheet name="Supuestos" sheetId="2" r:id="rId2"/>
    <sheet name="Gantt" sheetId="3" r:id="rId3"/>
    <sheet name="Costos" sheetId="4" r:id="rId4"/>
    <sheet name="Modelo_Negocio" sheetId="5" r:id="rId5"/>
    <sheet name="Evaluacion_Proyecto" sheetId="6" r:id="rId6"/>
    <sheet name="Referentes" sheetId="7" r:id="rId7"/>
    <sheet name="Fuent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6" l="1"/>
  <c r="E11" i="6"/>
  <c r="E10" i="6"/>
  <c r="E9" i="6"/>
  <c r="E8" i="6"/>
  <c r="E7" i="6"/>
  <c r="E6" i="6"/>
  <c r="E5" i="6"/>
  <c r="E4" i="6"/>
  <c r="O21" i="4"/>
  <c r="N21" i="4"/>
  <c r="M21" i="4"/>
  <c r="L21" i="4"/>
  <c r="K21" i="4"/>
  <c r="J21" i="4"/>
  <c r="I21" i="4"/>
  <c r="H21" i="4"/>
</calcChain>
</file>

<file path=xl/sharedStrings.xml><?xml version="1.0" encoding="utf-8"?>
<sst xmlns="http://schemas.openxmlformats.org/spreadsheetml/2006/main" count="379" uniqueCount="304">
  <si>
    <t>DASHBOARD EJECUTIVO — Gantt, valorización y mercado Catch &amp; Go</t>
  </si>
  <si>
    <t>Inicio proyecto</t>
  </si>
  <si>
    <t>Entrega 2 nube</t>
  </si>
  <si>
    <t>Cierre QA/mejoras</t>
  </si>
  <si>
    <t>Duración total días</t>
  </si>
  <si>
    <t>Integrantes</t>
  </si>
  <si>
    <t>Horas valorizadas</t>
  </si>
  <si>
    <t>Costo horas equipo</t>
  </si>
  <si>
    <t>Costo cloud mínimo</t>
  </si>
  <si>
    <t>Contingencia técnica</t>
  </si>
  <si>
    <t>Valorización MVP educativo</t>
  </si>
  <si>
    <t>Valor de mercado tercerizado estimado</t>
  </si>
  <si>
    <t>18 a 35 millones CLP</t>
  </si>
  <si>
    <t>Modelo de negocio</t>
  </si>
  <si>
    <t>Suscripción B2B + comisión por match</t>
  </si>
  <si>
    <t>Resumen ejecutivo</t>
  </si>
  <si>
    <t>SUPUESTOS REALISTAS — Catch &amp; Go (MVP educativo, Chile 2026)</t>
  </si>
  <si>
    <t>Variable</t>
  </si>
  <si>
    <t>Valor</t>
  </si>
  <si>
    <t>Unidad</t>
  </si>
  <si>
    <t>Justificación / Comentario</t>
  </si>
  <si>
    <t>Fecha inicio proyecto</t>
  </si>
  <si>
    <t>Fecha</t>
  </si>
  <si>
    <t>Inicio de planificación y construcción</t>
  </si>
  <si>
    <t>Entrega 2 funcional en nube</t>
  </si>
  <si>
    <t>Meta: MVP desplegado con funcionalidades base</t>
  </si>
  <si>
    <t>Cierre testing y mejoras</t>
  </si>
  <si>
    <t>Meta: pruebas completas, bugs cerrados y documentación QA</t>
  </si>
  <si>
    <t>Equipo</t>
  </si>
  <si>
    <t>Proyecto educativo Duoc UC; dedicación parcial</t>
  </si>
  <si>
    <t>Horas semanales por integrante</t>
  </si>
  <si>
    <t>Horas/semana</t>
  </si>
  <si>
    <t>Supuesto realista para estudiantes vespertinos con trabajo/estudio</t>
  </si>
  <si>
    <t>Tipo de valorización</t>
  </si>
  <si>
    <t>Costo de reposición educativo</t>
  </si>
  <si>
    <t>Criterio</t>
  </si>
  <si>
    <t>No representa sueldo real pagado; mide valor si se contratara apoyo junior/freelance</t>
  </si>
  <si>
    <t>USD observado/estimado</t>
  </si>
  <si>
    <t>CLP/USD</t>
  </si>
  <si>
    <t>Supuesto conservador para presupuestar servicios cloud internacionales</t>
  </si>
  <si>
    <t>Railway Hobby</t>
  </si>
  <si>
    <t>USD/mes</t>
  </si>
  <si>
    <t>Plan mínimo de uso; útil para backend demo</t>
  </si>
  <si>
    <t>Vercel Hobby</t>
  </si>
  <si>
    <t>Uso educativo/personal mientras no exista uso comercial</t>
  </si>
  <si>
    <t>Supabase Free</t>
  </si>
  <si>
    <t>Free tier para MVP; Pro referencial USD 25/mes si escala</t>
  </si>
  <si>
    <t>Google Maps / Geocoding</t>
  </si>
  <si>
    <t>Se asume bajo free usage cap en MVP</t>
  </si>
  <si>
    <t>%</t>
  </si>
  <si>
    <t>Reserva por cambios, bugs, credenciales cloud, límites free tier</t>
  </si>
  <si>
    <t>Impuesto renta empresa</t>
  </si>
  <si>
    <t>Supuesto Chile primera categoría; solo para evaluación de negocio</t>
  </si>
  <si>
    <t>Tasa descuento educativa</t>
  </si>
  <si>
    <t>% anual</t>
  </si>
  <si>
    <t>Riesgo alto por startup/validación temprana</t>
  </si>
  <si>
    <t>Horizonte evaluación negocio</t>
  </si>
  <si>
    <t>años</t>
  </si>
  <si>
    <t>Para comparar con plantilla económica original</t>
  </si>
  <si>
    <t>CARTA GANTT REALISTA — 16 marzo al 8 junio 2026</t>
  </si>
  <si>
    <t>ID</t>
  </si>
  <si>
    <t>Fase/Tarea</t>
  </si>
  <si>
    <t>Responsable</t>
  </si>
  <si>
    <t>Inicio</t>
  </si>
  <si>
    <t>Fin</t>
  </si>
  <si>
    <t>Duración días</t>
  </si>
  <si>
    <t>Estado</t>
  </si>
  <si>
    <t>S1
16-03</t>
  </si>
  <si>
    <t>S2
23-03</t>
  </si>
  <si>
    <t>S3
30-03</t>
  </si>
  <si>
    <t>S4
06-04</t>
  </si>
  <si>
    <t>S5
13-04</t>
  </si>
  <si>
    <t>S6
20-04</t>
  </si>
  <si>
    <t>S7
27-04</t>
  </si>
  <si>
    <t>S8
04-05</t>
  </si>
  <si>
    <t>S9
11-05</t>
  </si>
  <si>
    <t>S10
18-05</t>
  </si>
  <si>
    <t>S11
25-05</t>
  </si>
  <si>
    <t>S12
01-06</t>
  </si>
  <si>
    <t>S13
08-06</t>
  </si>
  <si>
    <t>Planificación — Inicio y alcance</t>
  </si>
  <si>
    <t>Todo el equipo</t>
  </si>
  <si>
    <t>Cerrado</t>
  </si>
  <si>
    <t>Planificación — Requerimientos y backlog</t>
  </si>
  <si>
    <t>Nicolás + Marco</t>
  </si>
  <si>
    <t>Diseño — Arquitectura técnica</t>
  </si>
  <si>
    <t>Nicolás + Miguel</t>
  </si>
  <si>
    <t>Documentación — UML / MER / BPMN</t>
  </si>
  <si>
    <t>Miguel + Marco</t>
  </si>
  <si>
    <t>Diseño — Wireframes y UX</t>
  </si>
  <si>
    <t>Marco + Miguel</t>
  </si>
  <si>
    <t>Backend — Backend base</t>
  </si>
  <si>
    <t>Nicolás</t>
  </si>
  <si>
    <t>Backend — Auth + Profile service</t>
  </si>
  <si>
    <t>Backend — Jobs service</t>
  </si>
  <si>
    <t>Miguel + Nicolás</t>
  </si>
  <si>
    <t>ML/Matching — Matching inicial</t>
  </si>
  <si>
    <t>Frontend — Frontend web</t>
  </si>
  <si>
    <t>Android — App Android</t>
  </si>
  <si>
    <t>Marco</t>
  </si>
  <si>
    <t>DevOps — Integración cloud</t>
  </si>
  <si>
    <t>Planificado</t>
  </si>
  <si>
    <t>Hito — Entrega 2</t>
  </si>
  <si>
    <t>QA — Pruebas unitarias e integración</t>
  </si>
  <si>
    <t>QA/Security — Seguridad y rendimiento</t>
  </si>
  <si>
    <t>Marco + Nicolás</t>
  </si>
  <si>
    <t>Cierre — Mejoras finales</t>
  </si>
  <si>
    <t>WBS + VALORIZACIÓN POR ESFUERZO REALISTA (3 integrantes)</t>
  </si>
  <si>
    <t>Tarea</t>
  </si>
  <si>
    <t>Descripción</t>
  </si>
  <si>
    <t>Fase</t>
  </si>
  <si>
    <t>Horas Nicolás</t>
  </si>
  <si>
    <t>Horas Marco</t>
  </si>
  <si>
    <t>Horas Miguel</t>
  </si>
  <si>
    <t>Horas totales</t>
  </si>
  <si>
    <t>Costo Nicolás</t>
  </si>
  <si>
    <t>Costo Marco</t>
  </si>
  <si>
    <t>Costo Miguel</t>
  </si>
  <si>
    <t>Costo total</t>
  </si>
  <si>
    <t>Inicio y alcance</t>
  </si>
  <si>
    <t>Definir problemática, alcance MVP, roles, repositorio y estrategia GitFlow</t>
  </si>
  <si>
    <t>Planificación</t>
  </si>
  <si>
    <t>Requerimientos y backlog</t>
  </si>
  <si>
    <t>Historias de usuario, requerimientos funcionales/no funcionales, criterios de aceptación</t>
  </si>
  <si>
    <t>Arquitectura técnica</t>
  </si>
  <si>
    <t>Microservicios, API Gateway, BD, cloud, Docker Compose, ramas y ambientes</t>
  </si>
  <si>
    <t>Diseño</t>
  </si>
  <si>
    <t>UML / MER / BPMN</t>
  </si>
  <si>
    <t>Casos de uso, clases, secuencia, MER y flujo As-Is/To-Be</t>
  </si>
  <si>
    <t>Documentación</t>
  </si>
  <si>
    <t>Wireframes y UX</t>
  </si>
  <si>
    <t>Flujo trabajador/empresa, mockups web y Android, design system base</t>
  </si>
  <si>
    <t>Backend base</t>
  </si>
  <si>
    <t>Monorepo Maven, common libs, seguridad base, health checks</t>
  </si>
  <si>
    <t>Backend</t>
  </si>
  <si>
    <t>Auth + Profile service</t>
  </si>
  <si>
    <t>Login, registro, JWT, perfiles empresa/trabajador, migraciones Flyway</t>
  </si>
  <si>
    <t>Jobs service</t>
  </si>
  <si>
    <t>Crear ofertas, listar ofertas, editar, eliminar, estados, coordenadas</t>
  </si>
  <si>
    <t>Matching inicial</t>
  </si>
  <si>
    <t>MatchSuggestionService por habilidades, disponibilidad, distancia y reputación</t>
  </si>
  <si>
    <t>ML/Matching</t>
  </si>
  <si>
    <t>Frontend web</t>
  </si>
  <si>
    <t>Landing, login/register, dashboards empresa/trabajador, ofertas, candidatos, perfil</t>
  </si>
  <si>
    <t>Frontend</t>
  </si>
  <si>
    <t>App Android</t>
  </si>
  <si>
    <t>Design system, login, home, capa de red Retrofit, sesión DataStore</t>
  </si>
  <si>
    <t>Android</t>
  </si>
  <si>
    <t>Integración cloud</t>
  </si>
  <si>
    <t>Deploy web, backend y BD; variables de entorno; pruebas smoke</t>
  </si>
  <si>
    <t>DevOps</t>
  </si>
  <si>
    <t>Entrega 2</t>
  </si>
  <si>
    <t>Informe, evidencias, presentación y demo funcional en nube</t>
  </si>
  <si>
    <t>Hito</t>
  </si>
  <si>
    <t>Pruebas unitarias e integración</t>
  </si>
  <si>
    <t>JUnit, Postman, pruebas API Gateway, BD, frontend y Android</t>
  </si>
  <si>
    <t>QA</t>
  </si>
  <si>
    <t>Seguridad y rendimiento</t>
  </si>
  <si>
    <t>JWT, roles, tokens inválidos, carga básica, logs y checklist OWASP básico</t>
  </si>
  <si>
    <t>QA/Security</t>
  </si>
  <si>
    <t>Mejoras finales</t>
  </si>
  <si>
    <t>Corrección de bugs, mejora UX, limpieza repo, README, evidencias finales</t>
  </si>
  <si>
    <t>Cierre</t>
  </si>
  <si>
    <t>TOTAL VALORIZADO MVP EDUCATIVO</t>
  </si>
  <si>
    <t>MODELO DE NEGOCIO REFERENCIAL — Marketplace laboral temporal</t>
  </si>
  <si>
    <t>Año</t>
  </si>
  <si>
    <t>Empresas activas promedio</t>
  </si>
  <si>
    <t>ARPA mensual CLP</t>
  </si>
  <si>
    <t>Jobs/empresa/mes</t>
  </si>
  <si>
    <t>Ticket prom. CLP</t>
  </si>
  <si>
    <t>Take rate</t>
  </si>
  <si>
    <t>Ingresos suscripción</t>
  </si>
  <si>
    <t>Ingresos comisión</t>
  </si>
  <si>
    <t>Ingresos totales</t>
  </si>
  <si>
    <t>Cloud/infra/soporte técnico</t>
  </si>
  <si>
    <t>Ventas/soporte clientes</t>
  </si>
  <si>
    <t>Legal/admin/contabilidad</t>
  </si>
  <si>
    <t>Costos operativos</t>
  </si>
  <si>
    <t>EBITDA</t>
  </si>
  <si>
    <t>Impuesto</t>
  </si>
  <si>
    <t>Flujo neto</t>
  </si>
  <si>
    <t>FACTORES DE EVALUACIÓN DEL PROYECTO — Realista y educativo</t>
  </si>
  <si>
    <t>Factor</t>
  </si>
  <si>
    <t>Peso</t>
  </si>
  <si>
    <t>Criterio de evaluación</t>
  </si>
  <si>
    <t>Puntaje 1-5</t>
  </si>
  <si>
    <t>Puntaje ponderado</t>
  </si>
  <si>
    <t>Evidencia esperada</t>
  </si>
  <si>
    <t>Riesgo si no se cumple</t>
  </si>
  <si>
    <t>Acción de mejora</t>
  </si>
  <si>
    <t>Factibilidad técnica</t>
  </si>
  <si>
    <t>Stack dominado por el equipo y compatible con MVP</t>
  </si>
  <si>
    <t>Repo con backend, web, Android, Docker</t>
  </si>
  <si>
    <t>Integración incompleta</t>
  </si>
  <si>
    <t>Reducir alcance a auth+jobs+matching</t>
  </si>
  <si>
    <t>Factibilidad operativa</t>
  </si>
  <si>
    <t>Uso simple para trabajador/empresa y flujo demostrable</t>
  </si>
  <si>
    <t>Demo en nube + manual de uso</t>
  </si>
  <si>
    <t>Baja adopción por complejidad</t>
  </si>
  <si>
    <t>Onboarding guiado y pruebas con usuarios</t>
  </si>
  <si>
    <t>Factibilidad económica</t>
  </si>
  <si>
    <t>Costo educativo controlado y proyección de ingresos razonable</t>
  </si>
  <si>
    <t>Valorización y modelo de negocio</t>
  </si>
  <si>
    <t>Supuestos inflados</t>
  </si>
  <si>
    <t>Validar precios con 5 empresas reales</t>
  </si>
  <si>
    <t>Factibilidad legal/normativa</t>
  </si>
  <si>
    <t>Protección de datos, términos, cumplimiento laboral básico</t>
  </si>
  <si>
    <t>Términos, privacidad, checklist legal</t>
  </si>
  <si>
    <t>Riesgo por relación laboral/contratos</t>
  </si>
  <si>
    <t>Asesoría docente/legal y enfoque marketplace</t>
  </si>
  <si>
    <t>Seguridad</t>
  </si>
  <si>
    <t>JWT, roles, validación de tokens y datos sensibles</t>
  </si>
  <si>
    <t>Pruebas Postman y revisión OWASP básica</t>
  </si>
  <si>
    <t>Exposición de credenciales/datos</t>
  </si>
  <si>
    <t>Variables de entorno, no subir secretos</t>
  </si>
  <si>
    <t>Calidad y pruebas</t>
  </si>
  <si>
    <t>Plan de pruebas unitarias, integración, UI y cloud</t>
  </si>
  <si>
    <t>Matriz QA y evidencias</t>
  </si>
  <si>
    <t>Errores en defensa</t>
  </si>
  <si>
    <t>Congelar alcance el 19 mayo y testear</t>
  </si>
  <si>
    <t>Escalabilidad</t>
  </si>
  <si>
    <t>Arquitectura permite crecer por servicio</t>
  </si>
  <si>
    <t>Microservicios + Docker</t>
  </si>
  <si>
    <t>Costos cloud suben</t>
  </si>
  <si>
    <t>Monitoreo y límites de uso</t>
  </si>
  <si>
    <t>Diferenciación/mercado</t>
  </si>
  <si>
    <t>Propuesta combina rapidez, geolocalización y reputación</t>
  </si>
  <si>
    <t>Benchmark con Job&amp;Talent/Airtasker/Cornershop</t>
  </si>
  <si>
    <t>No lograr masa crítica</t>
  </si>
  <si>
    <t>Piloto acotado por comuna/rubro</t>
  </si>
  <si>
    <t>Puntaje final</t>
  </si>
  <si>
    <t>RESEÑA DE EMPRESAS REFERENTES Y APRENDIZAJES PARA CATCH &amp; GO</t>
  </si>
  <si>
    <t>Empresa</t>
  </si>
  <si>
    <t>Similitud con Catch &amp; Go</t>
  </si>
  <si>
    <t>Qué logró</t>
  </si>
  <si>
    <t>Lección útil</t>
  </si>
  <si>
    <t>Qué aplicar en el proyecto</t>
  </si>
  <si>
    <t>Fuente</t>
  </si>
  <si>
    <t>Job&amp;Talent</t>
  </si>
  <si>
    <t>Marketplace/gestión de personal temporal a gran escala</t>
  </si>
  <si>
    <t>Fue valorada en EUR 1.300 millones y colocó cientos de miles de trabajadores en empresas</t>
  </si>
  <si>
    <t>La IA sirve cuando resuelve reclutamiento real, no solo como adorno</t>
  </si>
  <si>
    <t>Priorizar matching medible, entrevistas/validación y trazabilidad de contratación</t>
  </si>
  <si>
    <t>https://cincodias.elpais.com/companias/2025-04-10/jobtalent-cierra-una-ronda-de-92-millones-con-una-valoracion-de-1300-millones-y-da-entrada-a-blackrock.html</t>
  </si>
  <si>
    <t>Airtasker</t>
  </si>
  <si>
    <t>Marketplace horizontal de tareas; usuarios publican trabajos y otros postulan/ofertan</t>
  </si>
  <si>
    <t>Logró crecimiento mediante comunidad, volumen de tareas y expansión internacional</t>
  </si>
  <si>
    <t>La confianza, reputación y liquidez del marketplace son más importantes que tener muchas pantallas</t>
  </si>
  <si>
    <t>Partir con pocos rubros y zona geográfica acotada para generar masa crítica</t>
  </si>
  <si>
    <t>https://en.wikipedia.org/wiki/Airtasker</t>
  </si>
  <si>
    <t>Cornershop</t>
  </si>
  <si>
    <t>Startup chilena con intermediación por app, geolocalización y trabajadores operativos</t>
  </si>
  <si>
    <t>Escaló desde Chile/México y fue adquirida por Uber; luego absorbida por Uber Eats</t>
  </si>
  <si>
    <t>La operación local, experiencia móvil y logística importan tanto como el software</t>
  </si>
  <si>
    <t>Diseñar procesos de validación, soporte y calidad desde el piloto</t>
  </si>
  <si>
    <t>https://es.wikipedia.org/wiki/Cornershop_%28aplicaci%C3%B3n%29</t>
  </si>
  <si>
    <t>Buk</t>
  </si>
  <si>
    <t>SaaS chileno de RR.HH. con expansión regional</t>
  </si>
  <si>
    <t>Creció desde Chile hacia mercados latinoamericanos con producto enfocado en gestión de personas</t>
  </si>
  <si>
    <t>Adaptarse a normativa local y resolver dolores de RR.HH. genera confianza empresarial</t>
  </si>
  <si>
    <t>Incluir trazabilidad, datos laborales, perfiles y reportes para empresas</t>
  </si>
  <si>
    <t>https://es.wikipedia.org/wiki/Buk_%28Compa%C3%B1%C3%ADa_de_Software%29</t>
  </si>
  <si>
    <t>FUENTES Y SUPUESTOS USADOS EN LA VALORIZACIÓN</t>
  </si>
  <si>
    <t>Tema</t>
  </si>
  <si>
    <t>Dato utilizado</t>
  </si>
  <si>
    <t>URL</t>
  </si>
  <si>
    <t>Comentario</t>
  </si>
  <si>
    <t>Railway pricing</t>
  </si>
  <si>
    <t>Railway</t>
  </si>
  <si>
    <t>Hobby: USD 5 mínimo de uso mensual, créditos y límites de recursos</t>
  </si>
  <si>
    <t>https://railway.com/pricing</t>
  </si>
  <si>
    <t>Se usa como costo cloud backend mínimo en escenario demo</t>
  </si>
  <si>
    <t>Vercel pricing</t>
  </si>
  <si>
    <t>Vercel</t>
  </si>
  <si>
    <t>Hobby gratis; Pro USD 20/mes + uso</t>
  </si>
  <si>
    <t>https://vercel.com/pricing</t>
  </si>
  <si>
    <t>Se usa para frontend con costo $0 en etapa educativa</t>
  </si>
  <si>
    <t>Supabase pricing</t>
  </si>
  <si>
    <t>Supabase</t>
  </si>
  <si>
    <t>Free tier; Pro referencial desde USD 25/mes</t>
  </si>
  <si>
    <t>https://supabase.com/pricing</t>
  </si>
  <si>
    <t>Se usa como BaaS/BD en MVP y como costo de escala</t>
  </si>
  <si>
    <t>Google Maps pricing</t>
  </si>
  <si>
    <t>Google Developers</t>
  </si>
  <si>
    <t>Geocoding y Geolocation con free usage cap de 10.000 y precio por 1.000 usos</t>
  </si>
  <si>
    <t>https://developers.google.com/maps/billing-and-pricing/pricing</t>
  </si>
  <si>
    <t>Se asume $0 en MVP por bajo volumen; dejar control de gasto</t>
  </si>
  <si>
    <t>Cinco Días / El País</t>
  </si>
  <si>
    <t>Valorización de EUR 1.300 millones y uso de IA en reclutamiento</t>
  </si>
  <si>
    <t>Referente directo de staffing digital</t>
  </si>
  <si>
    <t>Wikipedia + referencias históricas</t>
  </si>
  <si>
    <t>Marketplace de tareas con crecimiento por comunidad y volumen transaccional</t>
  </si>
  <si>
    <t>Referente de marketplace horizontal de tareas</t>
  </si>
  <si>
    <t>Startup chilena de intermediación operacional adquirida/absorbida por Uber</t>
  </si>
  <si>
    <t>Referente chileno de operación + app + escala</t>
  </si>
  <si>
    <t>Supuestos de tarifa</t>
  </si>
  <si>
    <t>Supuesto académico</t>
  </si>
  <si>
    <t>$8.500-$10.000 CLP/hora por integrante según rol</t>
  </si>
  <si>
    <t>N/A</t>
  </si>
  <si>
    <t>No son sueldos reales: costo de reposición educativo para valorar el MVP</t>
  </si>
  <si>
    <t>En Desarrollo</t>
  </si>
  <si>
    <t xml:space="preserve">Nicolás </t>
  </si>
  <si>
    <t>Miguel</t>
  </si>
  <si>
    <t>Equipo de 3 estudiantes con dedicación parcial. La Entrega 2 se concentra en dejar un MVP funcional en nube al 19 de mayo: autenticación, perfiles, ofertas, matching inicial, web y app Android conectadas. Desde el 20 de mayo al 8 de junio se congela alcance y se ejecutan pruebas, seguridad básica, corrección de bugs y documentación. La valorización distingue desembolso real (bajo por uso de herramientas free) de valor de reposición del trabajo, que refleja cuánto costaría desarrollar un MVP similar con apoyo junior/freelance.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</si>
</sst>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$\ #,##0"/>
    <numFmt numFmtId="166" formatCode="0.0%"/>
  </numFmts>
  <fonts count="9">
    <font>
      <sz val="11"/>
      <name val="Carlito"/>
    </font>
    <font>
      <b/>
      <sz val="10"/>
      <color rgb="FFFFFFFF"/>
      <name val="Calibri"/>
    </font>
    <font>
      <sz val="10"/>
      <name val="Calibri"/>
    </font>
    <font>
      <b/>
      <sz val="10"/>
      <color rgb="FF0C4A6E"/>
      <name val="Calibri"/>
    </font>
    <font>
      <b/>
      <sz val="10"/>
      <color rgb="FF2563EB"/>
      <name val="Calibri"/>
    </font>
    <font>
      <b/>
      <sz val="10"/>
      <name val="Calibri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E0F2FE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/>
    <xf numFmtId="0" fontId="2" fillId="5" borderId="0" xfId="0" applyNumberFormat="1" applyFont="1" applyFill="1" applyBorder="1"/>
    <xf numFmtId="164" fontId="2" fillId="5" borderId="0" xfId="0" applyNumberFormat="1" applyFont="1" applyFill="1" applyBorder="1"/>
    <xf numFmtId="0" fontId="2" fillId="6" borderId="0" xfId="0" applyNumberFormat="1" applyFont="1" applyFill="1" applyBorder="1"/>
    <xf numFmtId="164" fontId="2" fillId="6" borderId="0" xfId="0" applyNumberFormat="1" applyFont="1" applyFill="1" applyBorder="1"/>
    <xf numFmtId="0" fontId="2" fillId="7" borderId="0" xfId="0" applyNumberFormat="1" applyFont="1" applyFill="1" applyBorder="1"/>
    <xf numFmtId="164" fontId="2" fillId="7" borderId="0" xfId="0" applyNumberFormat="1" applyFont="1" applyFill="1" applyBorder="1"/>
    <xf numFmtId="0" fontId="2" fillId="8" borderId="0" xfId="0" applyNumberFormat="1" applyFont="1" applyFill="1" applyBorder="1"/>
    <xf numFmtId="164" fontId="2" fillId="8" borderId="0" xfId="0" applyNumberFormat="1" applyFont="1" applyFill="1" applyBorder="1"/>
    <xf numFmtId="1" fontId="2" fillId="0" borderId="0" xfId="0" applyNumberFormat="1" applyFont="1" applyFill="1" applyBorder="1"/>
    <xf numFmtId="165" fontId="2" fillId="0" borderId="0" xfId="0" applyNumberFormat="1" applyFont="1" applyFill="1" applyBorder="1"/>
    <xf numFmtId="0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2" fillId="0" borderId="0" xfId="0" applyNumberFormat="1" applyFont="1" applyFill="1" applyBorder="1"/>
    <xf numFmtId="2" fontId="2" fillId="0" borderId="0" xfId="0" applyNumberFormat="1" applyFont="1" applyFill="1" applyBorder="1"/>
    <xf numFmtId="0" fontId="4" fillId="10" borderId="0" xfId="0" applyNumberFormat="1" applyFont="1" applyFill="1" applyBorder="1" applyAlignment="1">
      <alignment horizontal="center" vertical="center"/>
    </xf>
    <xf numFmtId="0" fontId="4" fillId="11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/>
    <xf numFmtId="0" fontId="3" fillId="9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9" fontId="2" fillId="0" borderId="0" xfId="0" applyNumberFormat="1" applyFont="1" applyFill="1" applyBorder="1" applyAlignment="1">
      <alignment horizontal="center"/>
    </xf>
    <xf numFmtId="0" fontId="2" fillId="12" borderId="0" xfId="0" applyNumberFormat="1" applyFont="1" applyFill="1" applyBorder="1"/>
    <xf numFmtId="164" fontId="2" fillId="12" borderId="0" xfId="0" applyNumberFormat="1" applyFont="1" applyFill="1" applyBorder="1"/>
    <xf numFmtId="0" fontId="6" fillId="13" borderId="0" xfId="0" applyNumberFormat="1" applyFont="1" applyFill="1" applyBorder="1" applyAlignment="1">
      <alignment horizontal="center" vertical="center" wrapText="1"/>
    </xf>
    <xf numFmtId="0" fontId="7" fillId="13" borderId="0" xfId="0" applyNumberFormat="1" applyFont="1" applyFill="1" applyBorder="1" applyAlignment="1">
      <alignment wrapText="1"/>
    </xf>
    <xf numFmtId="0" fontId="6" fillId="13" borderId="0" xfId="0" applyNumberFormat="1" applyFont="1" applyFill="1" applyBorder="1"/>
    <xf numFmtId="2" fontId="6" fillId="13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3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uestosReales" displayName="SupuestosReales" ref="A3:D18">
  <tableColumns count="4">
    <tableColumn id="1" xr3:uid="{00000000-0010-0000-0000-000001000000}" name="Variable"/>
    <tableColumn id="2" xr3:uid="{00000000-0010-0000-0000-000002000000}" name="Valor" dataDxfId="13"/>
    <tableColumn id="3" xr3:uid="{00000000-0010-0000-0000-000003000000}" name="Unidad" dataDxfId="12"/>
    <tableColumn id="4" xr3:uid="{00000000-0010-0000-0000-000004000000}" name="Justificación / 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GanttRealista" displayName="GanttRealista" ref="A3:T19">
  <tableColumns count="20">
    <tableColumn id="1" xr3:uid="{00000000-0010-0000-0100-000001000000}" name="ID"/>
    <tableColumn id="2" xr3:uid="{00000000-0010-0000-0100-000002000000}" name="Fase/Tarea"/>
    <tableColumn id="3" xr3:uid="{00000000-0010-0000-0100-000003000000}" name="Responsable"/>
    <tableColumn id="4" xr3:uid="{00000000-0010-0000-0100-000004000000}" name="Inicio"/>
    <tableColumn id="5" xr3:uid="{00000000-0010-0000-0100-000005000000}" name="Fin"/>
    <tableColumn id="6" xr3:uid="{00000000-0010-0000-0100-000006000000}" name="Duración días"/>
    <tableColumn id="7" xr3:uid="{00000000-0010-0000-0100-000007000000}" name="Estado"/>
    <tableColumn id="8" xr3:uid="{00000000-0010-0000-0100-000008000000}" name="S1_x000a_16-03"/>
    <tableColumn id="9" xr3:uid="{00000000-0010-0000-0100-000009000000}" name="S2_x000a_23-03"/>
    <tableColumn id="10" xr3:uid="{00000000-0010-0000-0100-00000A000000}" name="S3_x000a_30-03"/>
    <tableColumn id="11" xr3:uid="{00000000-0010-0000-0100-00000B000000}" name="S4_x000a_06-04"/>
    <tableColumn id="12" xr3:uid="{00000000-0010-0000-0100-00000C000000}" name="S5_x000a_13-04"/>
    <tableColumn id="13" xr3:uid="{00000000-0010-0000-0100-00000D000000}" name="S6_x000a_20-04"/>
    <tableColumn id="14" xr3:uid="{00000000-0010-0000-0100-00000E000000}" name="S7_x000a_27-04"/>
    <tableColumn id="15" xr3:uid="{00000000-0010-0000-0100-00000F000000}" name="S8_x000a_04-05"/>
    <tableColumn id="16" xr3:uid="{00000000-0010-0000-0100-000010000000}" name="S9_x000a_11-05"/>
    <tableColumn id="17" xr3:uid="{00000000-0010-0000-0100-000011000000}" name="S10_x000a_18-05"/>
    <tableColumn id="18" xr3:uid="{00000000-0010-0000-0100-000012000000}" name="S11_x000a_25-05"/>
    <tableColumn id="19" xr3:uid="{00000000-0010-0000-0100-000013000000}" name="S12_x000a_01-06"/>
    <tableColumn id="20" xr3:uid="{00000000-0010-0000-0100-000014000000}" name="S13_x000a_08-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WBSCostos" displayName="WBSCostos" ref="A3:P19">
  <tableColumns count="16">
    <tableColumn id="1" xr3:uid="{00000000-0010-0000-0200-000001000000}" name="ID"/>
    <tableColumn id="2" xr3:uid="{00000000-0010-0000-0200-000002000000}" name="Tarea"/>
    <tableColumn id="3" xr3:uid="{00000000-0010-0000-0200-000003000000}" name="Descripción"/>
    <tableColumn id="4" xr3:uid="{00000000-0010-0000-0200-000004000000}" name="Inicio"/>
    <tableColumn id="5" xr3:uid="{00000000-0010-0000-0200-000005000000}" name="Fin"/>
    <tableColumn id="6" xr3:uid="{00000000-0010-0000-0200-000006000000}" name="Responsable"/>
    <tableColumn id="7" xr3:uid="{00000000-0010-0000-0200-000007000000}" name="Fase"/>
    <tableColumn id="8" xr3:uid="{00000000-0010-0000-0200-000008000000}" name="Horas Nicolás"/>
    <tableColumn id="9" xr3:uid="{00000000-0010-0000-0200-000009000000}" name="Horas Marco"/>
    <tableColumn id="10" xr3:uid="{00000000-0010-0000-0200-00000A000000}" name="Horas Miguel"/>
    <tableColumn id="11" xr3:uid="{00000000-0010-0000-0200-00000B000000}" name="Horas totales"/>
    <tableColumn id="12" xr3:uid="{00000000-0010-0000-0200-00000C000000}" name="Costo Nicolás"/>
    <tableColumn id="13" xr3:uid="{00000000-0010-0000-0200-00000D000000}" name="Costo Marco"/>
    <tableColumn id="14" xr3:uid="{00000000-0010-0000-0200-00000E000000}" name="Costo Miguel"/>
    <tableColumn id="15" xr3:uid="{00000000-0010-0000-0200-00000F000000}" name="Costo total"/>
    <tableColumn id="16" xr3:uid="{00000000-0010-0000-0200-000010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eloNegocio" displayName="ModeloNegocio" ref="A3:P8" headerRowDxfId="16" dataDxfId="14" totalsRowDxfId="15">
  <tableColumns count="16">
    <tableColumn id="1" xr3:uid="{00000000-0010-0000-0300-000001000000}" name="Año" dataDxfId="32"/>
    <tableColumn id="2" xr3:uid="{00000000-0010-0000-0300-000002000000}" name="Empresas activas promedio" dataDxfId="31"/>
    <tableColumn id="3" xr3:uid="{00000000-0010-0000-0300-000003000000}" name="ARPA mensual CLP" dataDxfId="30"/>
    <tableColumn id="4" xr3:uid="{00000000-0010-0000-0300-000004000000}" name="Jobs/empresa/mes" dataDxfId="29"/>
    <tableColumn id="5" xr3:uid="{00000000-0010-0000-0300-000005000000}" name="Ticket prom. CLP" dataDxfId="28"/>
    <tableColumn id="6" xr3:uid="{00000000-0010-0000-0300-000006000000}" name="Take rate" dataDxfId="27"/>
    <tableColumn id="7" xr3:uid="{00000000-0010-0000-0300-000007000000}" name="Ingresos suscripción" dataDxfId="26"/>
    <tableColumn id="8" xr3:uid="{00000000-0010-0000-0300-000008000000}" name="Ingresos comisión" dataDxfId="25"/>
    <tableColumn id="9" xr3:uid="{00000000-0010-0000-0300-000009000000}" name="Ingresos totales" dataDxfId="24"/>
    <tableColumn id="10" xr3:uid="{00000000-0010-0000-0300-00000A000000}" name="Cloud/infra/soporte técnico" dataDxfId="23"/>
    <tableColumn id="11" xr3:uid="{00000000-0010-0000-0300-00000B000000}" name="Ventas/soporte clientes" dataDxfId="22"/>
    <tableColumn id="12" xr3:uid="{00000000-0010-0000-0300-00000C000000}" name="Legal/admin/contabilidad" dataDxfId="21"/>
    <tableColumn id="13" xr3:uid="{00000000-0010-0000-0300-00000D000000}" name="Costos operativos" dataDxfId="20"/>
    <tableColumn id="14" xr3:uid="{00000000-0010-0000-0300-00000E000000}" name="EBITDA" dataDxfId="19"/>
    <tableColumn id="15" xr3:uid="{00000000-0010-0000-0300-00000F000000}" name="Impuesto" dataDxfId="18"/>
    <tableColumn id="16" xr3:uid="{00000000-0010-0000-0300-000010000000}" name="Flujo neto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valuacionProyecto" displayName="EvaluacionProyecto" ref="A3:H11">
  <tableColumns count="8">
    <tableColumn id="1" xr3:uid="{00000000-0010-0000-0400-000001000000}" name="Factor"/>
    <tableColumn id="2" xr3:uid="{00000000-0010-0000-0400-000002000000}" name="Peso"/>
    <tableColumn id="3" xr3:uid="{00000000-0010-0000-0400-000003000000}" name="Criterio de evaluación"/>
    <tableColumn id="4" xr3:uid="{00000000-0010-0000-0400-000004000000}" name="Puntaje 1-5"/>
    <tableColumn id="5" xr3:uid="{00000000-0010-0000-0400-000005000000}" name="Puntaje ponderado"/>
    <tableColumn id="6" xr3:uid="{00000000-0010-0000-0400-000006000000}" name="Evidencia esperada"/>
    <tableColumn id="7" xr3:uid="{00000000-0010-0000-0400-000007000000}" name="Riesgo si no se cumple"/>
    <tableColumn id="8" xr3:uid="{00000000-0010-0000-0400-000008000000}" name="Acción de mejo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ferentesTable" displayName="ReferentesTable" ref="A3:F7">
  <tableColumns count="6">
    <tableColumn id="1" xr3:uid="{00000000-0010-0000-0500-000001000000}" name="Empresa" dataDxfId="11"/>
    <tableColumn id="2" xr3:uid="{00000000-0010-0000-0500-000002000000}" name="Similitud con Catch &amp; Go" dataDxfId="10"/>
    <tableColumn id="3" xr3:uid="{00000000-0010-0000-0500-000003000000}" name="Qué logró" dataDxfId="9"/>
    <tableColumn id="4" xr3:uid="{00000000-0010-0000-0500-000004000000}" name="Lección útil" dataDxfId="8"/>
    <tableColumn id="5" xr3:uid="{00000000-0010-0000-0500-000005000000}" name="Qué aplicar en el proyecto" dataDxfId="7"/>
    <tableColumn id="6" xr3:uid="{00000000-0010-0000-0500-000006000000}" name="Fuente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entesTable" displayName="FuentesTable" ref="A3:E11" dataDxfId="0">
  <tableColumns count="5">
    <tableColumn id="1" xr3:uid="{00000000-0010-0000-0600-000001000000}" name="Tema" dataDxfId="5"/>
    <tableColumn id="2" xr3:uid="{00000000-0010-0000-0600-000002000000}" name="Fuente" dataDxfId="4"/>
    <tableColumn id="3" xr3:uid="{00000000-0010-0000-0600-000003000000}" name="Dato utilizado" dataDxfId="3"/>
    <tableColumn id="4" xr3:uid="{00000000-0010-0000-0600-000004000000}" name="URL" dataDxfId="2"/>
    <tableColumn id="5" xr3:uid="{00000000-0010-0000-0600-000005000000}" name="Comentar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workbookViewId="0">
      <selection activeCell="A11" sqref="A11:F14"/>
    </sheetView>
  </sheetViews>
  <sheetFormatPr baseColWidth="10" defaultColWidth="8.796875" defaultRowHeight="13.8"/>
  <cols>
    <col min="1" max="1" width="24" customWidth="1"/>
    <col min="2" max="2" width="20" customWidth="1"/>
    <col min="3" max="3" width="24" customWidth="1"/>
    <col min="4" max="4" width="20" customWidth="1"/>
    <col min="5" max="8" width="18" customWidth="1"/>
  </cols>
  <sheetData>
    <row r="1" spans="1:26" ht="22.35" customHeight="1">
      <c r="A1" s="21" t="s">
        <v>0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43" t="s">
        <v>1</v>
      </c>
      <c r="B3" s="44">
        <v>46097</v>
      </c>
      <c r="C3" s="43" t="s">
        <v>2</v>
      </c>
      <c r="D3" s="44">
        <v>46161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43" t="s">
        <v>3</v>
      </c>
      <c r="B4" s="44">
        <v>46181</v>
      </c>
      <c r="C4" s="43" t="s">
        <v>4</v>
      </c>
      <c r="D4" s="44">
        <v>85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43" t="s">
        <v>5</v>
      </c>
      <c r="B5" s="43">
        <v>3</v>
      </c>
      <c r="C5" s="43" t="s">
        <v>6</v>
      </c>
      <c r="D5" s="43">
        <v>508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43" t="s">
        <v>7</v>
      </c>
      <c r="B6" s="45">
        <v>4743000</v>
      </c>
      <c r="C6" s="43" t="s">
        <v>8</v>
      </c>
      <c r="D6" s="45">
        <v>14250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43" t="s">
        <v>9</v>
      </c>
      <c r="B7" s="45">
        <v>570870</v>
      </c>
      <c r="C7" s="43" t="s">
        <v>10</v>
      </c>
      <c r="D7" s="45">
        <v>5665620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3" t="s">
        <v>11</v>
      </c>
      <c r="B8" s="43" t="s">
        <v>12</v>
      </c>
      <c r="C8" s="43" t="s">
        <v>13</v>
      </c>
      <c r="D8" s="43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23" t="s">
        <v>15</v>
      </c>
      <c r="B10" s="22"/>
      <c r="C10" s="22"/>
      <c r="D10" s="22"/>
      <c r="E10" s="22"/>
      <c r="F10" s="22"/>
      <c r="G10" s="22"/>
      <c r="H10" s="2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customHeight="1">
      <c r="A11" s="46" t="s">
        <v>303</v>
      </c>
      <c r="B11" s="46"/>
      <c r="C11" s="46"/>
      <c r="D11" s="46"/>
      <c r="E11" s="46"/>
      <c r="F11" s="46"/>
      <c r="G11" s="40"/>
      <c r="H11" s="4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46"/>
      <c r="B12" s="46"/>
      <c r="C12" s="46"/>
      <c r="D12" s="46"/>
      <c r="E12" s="46"/>
      <c r="F12" s="46"/>
      <c r="G12" s="40"/>
      <c r="H12" s="4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46"/>
      <c r="B13" s="46"/>
      <c r="C13" s="46"/>
      <c r="D13" s="46"/>
      <c r="E13" s="46"/>
      <c r="F13" s="46"/>
      <c r="G13" s="40"/>
      <c r="H13" s="4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46"/>
      <c r="B14" s="46"/>
      <c r="C14" s="46"/>
      <c r="D14" s="46"/>
      <c r="E14" s="46"/>
      <c r="F14" s="46"/>
      <c r="G14" s="40"/>
      <c r="H14" s="4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3">
    <mergeCell ref="A1:H1"/>
    <mergeCell ref="A10:H10"/>
    <mergeCell ref="A11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activeCell="D16" sqref="D16"/>
    </sheetView>
  </sheetViews>
  <sheetFormatPr baseColWidth="10" defaultColWidth="8.796875" defaultRowHeight="13.8"/>
  <cols>
    <col min="1" max="1" width="28" customWidth="1"/>
    <col min="2" max="2" width="22" style="30" bestFit="1" customWidth="1"/>
    <col min="3" max="3" width="11.09765625" bestFit="1" customWidth="1"/>
    <col min="4" max="4" width="60.796875" bestFit="1" customWidth="1"/>
  </cols>
  <sheetData>
    <row r="1" spans="1:26" ht="22.35" customHeight="1">
      <c r="A1" s="24" t="s">
        <v>16</v>
      </c>
      <c r="B1" s="25"/>
      <c r="C1" s="25"/>
      <c r="D1" s="25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3" t="s">
        <v>17</v>
      </c>
      <c r="B3" s="3" t="s">
        <v>18</v>
      </c>
      <c r="C3" s="3" t="s">
        <v>19</v>
      </c>
      <c r="D3" s="3" t="s">
        <v>20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 t="s">
        <v>21</v>
      </c>
      <c r="B4" s="31">
        <v>46097</v>
      </c>
      <c r="C4" s="27" t="s">
        <v>22</v>
      </c>
      <c r="D4" s="1" t="s">
        <v>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 t="s">
        <v>24</v>
      </c>
      <c r="B5" s="31">
        <v>46161</v>
      </c>
      <c r="C5" s="27" t="s">
        <v>22</v>
      </c>
      <c r="D5" s="1" t="s">
        <v>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 t="s">
        <v>26</v>
      </c>
      <c r="B6" s="31">
        <v>46181</v>
      </c>
      <c r="C6" s="27" t="s">
        <v>22</v>
      </c>
      <c r="D6" s="1" t="s">
        <v>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 t="s">
        <v>28</v>
      </c>
      <c r="B7" s="27">
        <v>3</v>
      </c>
      <c r="C7" s="27" t="s">
        <v>5</v>
      </c>
      <c r="D7" s="1" t="s">
        <v>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 t="s">
        <v>30</v>
      </c>
      <c r="B8" s="27">
        <v>12</v>
      </c>
      <c r="C8" s="27" t="s">
        <v>31</v>
      </c>
      <c r="D8" s="1" t="s">
        <v>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 t="s">
        <v>33</v>
      </c>
      <c r="B9" s="27" t="s">
        <v>34</v>
      </c>
      <c r="C9" s="27" t="s">
        <v>35</v>
      </c>
      <c r="D9" s="1" t="s">
        <v>36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 t="s">
        <v>37</v>
      </c>
      <c r="B10" s="27">
        <v>950</v>
      </c>
      <c r="C10" s="27" t="s">
        <v>38</v>
      </c>
      <c r="D10" s="1" t="s">
        <v>39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 t="s">
        <v>40</v>
      </c>
      <c r="B11" s="27">
        <v>5</v>
      </c>
      <c r="C11" s="27" t="s">
        <v>41</v>
      </c>
      <c r="D11" s="1" t="s">
        <v>42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 t="s">
        <v>43</v>
      </c>
      <c r="B12" s="27">
        <v>0</v>
      </c>
      <c r="C12" s="27" t="s">
        <v>41</v>
      </c>
      <c r="D12" s="1" t="s">
        <v>44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 t="s">
        <v>45</v>
      </c>
      <c r="B13" s="27">
        <v>0</v>
      </c>
      <c r="C13" s="27" t="s">
        <v>41</v>
      </c>
      <c r="D13" s="1" t="s">
        <v>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 t="s">
        <v>47</v>
      </c>
      <c r="B14" s="27">
        <v>0</v>
      </c>
      <c r="C14" s="27" t="s">
        <v>41</v>
      </c>
      <c r="D14" s="1" t="s">
        <v>48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 t="s">
        <v>9</v>
      </c>
      <c r="B15" s="32">
        <v>0.12</v>
      </c>
      <c r="C15" s="27" t="s">
        <v>49</v>
      </c>
      <c r="D15" s="1" t="s">
        <v>50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 t="s">
        <v>51</v>
      </c>
      <c r="B16" s="32">
        <v>0.27</v>
      </c>
      <c r="C16" s="27" t="s">
        <v>49</v>
      </c>
      <c r="D16" s="1" t="s">
        <v>52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 t="s">
        <v>53</v>
      </c>
      <c r="B17" s="27">
        <v>0.18</v>
      </c>
      <c r="C17" s="27" t="s">
        <v>54</v>
      </c>
      <c r="D17" s="1" t="s">
        <v>55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 t="s">
        <v>56</v>
      </c>
      <c r="B18" s="27">
        <v>5</v>
      </c>
      <c r="C18" s="27" t="s">
        <v>57</v>
      </c>
      <c r="D18" s="1" t="s">
        <v>58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2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2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2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2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2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2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2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2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2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2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2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2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2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2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2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2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2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2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2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2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2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2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2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2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2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2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2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2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2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2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2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2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2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2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2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2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2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2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2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2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2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2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2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2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2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2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2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2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2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2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2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2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2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2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2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2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2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2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2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2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2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2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2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2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2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2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2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2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2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2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2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2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2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2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2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2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2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2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2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2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opLeftCell="A7" workbookViewId="0">
      <selection activeCell="C21" sqref="C21"/>
    </sheetView>
  </sheetViews>
  <sheetFormatPr baseColWidth="10" defaultColWidth="8.796875" defaultRowHeight="13.8"/>
  <cols>
    <col min="1" max="1" width="5" customWidth="1"/>
    <col min="2" max="2" width="33" customWidth="1"/>
    <col min="3" max="3" width="24" customWidth="1"/>
    <col min="4" max="5" width="12" customWidth="1"/>
    <col min="6" max="6" width="11" customWidth="1"/>
    <col min="7" max="7" width="13" customWidth="1"/>
    <col min="8" max="20" width="9" customWidth="1"/>
  </cols>
  <sheetData>
    <row r="1" spans="1:26" ht="22.35" customHeight="1">
      <c r="A1" s="21" t="s">
        <v>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1"/>
      <c r="V3" s="1"/>
      <c r="W3" s="1"/>
      <c r="X3" s="1"/>
      <c r="Y3" s="1"/>
      <c r="Z3" s="1"/>
    </row>
    <row r="4" spans="1:26" ht="14.4">
      <c r="A4" s="5">
        <v>1</v>
      </c>
      <c r="B4" s="5" t="s">
        <v>80</v>
      </c>
      <c r="C4" s="5" t="s">
        <v>81</v>
      </c>
      <c r="D4" s="6">
        <v>46097</v>
      </c>
      <c r="E4" s="6">
        <v>46103</v>
      </c>
      <c r="F4" s="5">
        <v>7</v>
      </c>
      <c r="G4" s="5" t="s">
        <v>82</v>
      </c>
      <c r="H4" s="19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"/>
      <c r="V4" s="1"/>
      <c r="W4" s="1"/>
      <c r="X4" s="1"/>
      <c r="Y4" s="1"/>
      <c r="Z4" s="1"/>
    </row>
    <row r="5" spans="1:26" ht="14.4">
      <c r="A5" s="5">
        <v>2</v>
      </c>
      <c r="B5" s="5" t="s">
        <v>83</v>
      </c>
      <c r="C5" s="5" t="s">
        <v>84</v>
      </c>
      <c r="D5" s="6">
        <v>46104</v>
      </c>
      <c r="E5" s="6">
        <v>46110</v>
      </c>
      <c r="F5" s="5">
        <v>7</v>
      </c>
      <c r="G5" s="5" t="s">
        <v>82</v>
      </c>
      <c r="H5" s="20"/>
      <c r="I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1"/>
      <c r="V5" s="1"/>
      <c r="W5" s="1"/>
      <c r="X5" s="1"/>
      <c r="Y5" s="1"/>
      <c r="Z5" s="1"/>
    </row>
    <row r="6" spans="1:26" ht="14.4">
      <c r="A6" s="5">
        <v>3</v>
      </c>
      <c r="B6" s="5" t="s">
        <v>85</v>
      </c>
      <c r="C6" s="5" t="s">
        <v>86</v>
      </c>
      <c r="D6" s="6">
        <v>46111</v>
      </c>
      <c r="E6" s="6">
        <v>46117</v>
      </c>
      <c r="F6" s="5">
        <v>7</v>
      </c>
      <c r="G6" s="5" t="s">
        <v>82</v>
      </c>
      <c r="H6" s="20"/>
      <c r="I6" s="20"/>
      <c r="J6" s="19"/>
      <c r="K6" s="20"/>
      <c r="L6" s="20"/>
      <c r="M6" s="20"/>
      <c r="N6" s="20"/>
      <c r="O6" s="20"/>
      <c r="P6" s="20"/>
      <c r="Q6" s="20"/>
      <c r="R6" s="20"/>
      <c r="S6" s="20"/>
      <c r="T6" s="20"/>
      <c r="U6" s="1"/>
      <c r="V6" s="1"/>
      <c r="W6" s="1"/>
      <c r="X6" s="1"/>
      <c r="Y6" s="1"/>
      <c r="Z6" s="1"/>
    </row>
    <row r="7" spans="1:26" ht="14.4">
      <c r="A7" s="5">
        <v>4</v>
      </c>
      <c r="B7" s="5" t="s">
        <v>87</v>
      </c>
      <c r="C7" s="5" t="s">
        <v>88</v>
      </c>
      <c r="D7" s="6">
        <v>46113</v>
      </c>
      <c r="E7" s="6">
        <v>46124</v>
      </c>
      <c r="F7" s="5">
        <v>12</v>
      </c>
      <c r="G7" s="5" t="s">
        <v>82</v>
      </c>
      <c r="H7" s="20"/>
      <c r="I7" s="20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"/>
      <c r="V7" s="1"/>
      <c r="W7" s="1"/>
      <c r="X7" s="1"/>
      <c r="Y7" s="1"/>
      <c r="Z7" s="1"/>
    </row>
    <row r="8" spans="1:26" ht="14.4">
      <c r="A8" s="5">
        <v>5</v>
      </c>
      <c r="B8" s="5" t="s">
        <v>89</v>
      </c>
      <c r="C8" s="5" t="s">
        <v>90</v>
      </c>
      <c r="D8" s="6">
        <v>46118</v>
      </c>
      <c r="E8" s="6">
        <v>46131</v>
      </c>
      <c r="F8" s="5">
        <v>14</v>
      </c>
      <c r="G8" s="5" t="s">
        <v>82</v>
      </c>
      <c r="H8" s="20"/>
      <c r="I8" s="20"/>
      <c r="J8" s="20"/>
      <c r="K8" s="19"/>
      <c r="L8" s="19"/>
      <c r="M8" s="20"/>
      <c r="N8" s="20"/>
      <c r="O8" s="20"/>
      <c r="P8" s="20"/>
      <c r="Q8" s="20"/>
      <c r="R8" s="20"/>
      <c r="S8" s="20"/>
      <c r="T8" s="20"/>
      <c r="U8" s="1"/>
      <c r="V8" s="1"/>
      <c r="W8" s="1"/>
      <c r="X8" s="1"/>
      <c r="Y8" s="1"/>
      <c r="Z8" s="1"/>
    </row>
    <row r="9" spans="1:26" ht="14.4">
      <c r="A9" s="7">
        <v>6</v>
      </c>
      <c r="B9" s="7" t="s">
        <v>91</v>
      </c>
      <c r="C9" s="7" t="s">
        <v>92</v>
      </c>
      <c r="D9" s="8">
        <v>46125</v>
      </c>
      <c r="E9" s="8">
        <v>46138</v>
      </c>
      <c r="F9" s="7">
        <v>14</v>
      </c>
      <c r="G9" s="7" t="s">
        <v>82</v>
      </c>
      <c r="H9" s="20"/>
      <c r="I9" s="20"/>
      <c r="J9" s="20"/>
      <c r="K9" s="20"/>
      <c r="L9" s="19"/>
      <c r="M9" s="19"/>
      <c r="N9" s="20"/>
      <c r="O9" s="20"/>
      <c r="P9" s="20"/>
      <c r="Q9" s="20"/>
      <c r="R9" s="20"/>
      <c r="S9" s="20"/>
      <c r="T9" s="20"/>
      <c r="U9" s="1"/>
      <c r="V9" s="1"/>
      <c r="W9" s="1"/>
      <c r="X9" s="1"/>
      <c r="Y9" s="1"/>
      <c r="Z9" s="1"/>
    </row>
    <row r="10" spans="1:26" ht="14.4">
      <c r="A10" s="7">
        <v>7</v>
      </c>
      <c r="B10" s="7" t="s">
        <v>93</v>
      </c>
      <c r="C10" s="7" t="s">
        <v>86</v>
      </c>
      <c r="D10" s="8">
        <v>46132</v>
      </c>
      <c r="E10" s="8">
        <v>46145</v>
      </c>
      <c r="F10" s="7">
        <v>14</v>
      </c>
      <c r="G10" s="7" t="s">
        <v>82</v>
      </c>
      <c r="H10" s="20"/>
      <c r="I10" s="20"/>
      <c r="J10" s="20"/>
      <c r="K10" s="20"/>
      <c r="L10" s="20"/>
      <c r="M10" s="19"/>
      <c r="N10" s="19"/>
      <c r="O10" s="20"/>
      <c r="P10" s="20"/>
      <c r="Q10" s="20"/>
      <c r="R10" s="20"/>
      <c r="S10" s="20"/>
      <c r="T10" s="20"/>
      <c r="U10" s="1"/>
      <c r="V10" s="1"/>
      <c r="W10" s="1"/>
      <c r="X10" s="1"/>
      <c r="Y10" s="1"/>
      <c r="Z10" s="1"/>
    </row>
    <row r="11" spans="1:26" ht="14.4">
      <c r="A11" s="7">
        <v>8</v>
      </c>
      <c r="B11" s="7" t="s">
        <v>94</v>
      </c>
      <c r="C11" s="7" t="s">
        <v>95</v>
      </c>
      <c r="D11" s="8">
        <v>46139</v>
      </c>
      <c r="E11" s="8">
        <v>46152</v>
      </c>
      <c r="F11" s="7">
        <v>14</v>
      </c>
      <c r="G11" s="7" t="s">
        <v>82</v>
      </c>
      <c r="H11" s="20"/>
      <c r="I11" s="20"/>
      <c r="J11" s="20"/>
      <c r="K11" s="20"/>
      <c r="L11" s="20"/>
      <c r="M11" s="20"/>
      <c r="N11" s="19"/>
      <c r="O11" s="19"/>
      <c r="P11" s="20"/>
      <c r="Q11" s="20"/>
      <c r="R11" s="20"/>
      <c r="S11" s="20"/>
      <c r="T11" s="20"/>
      <c r="U11" s="1"/>
      <c r="V11" s="1"/>
      <c r="W11" s="1"/>
      <c r="X11" s="1"/>
      <c r="Y11" s="1"/>
      <c r="Z11" s="1"/>
    </row>
    <row r="12" spans="1:26" ht="14.4">
      <c r="A12" s="7">
        <v>9</v>
      </c>
      <c r="B12" s="7" t="s">
        <v>96</v>
      </c>
      <c r="C12" s="7" t="s">
        <v>84</v>
      </c>
      <c r="D12" s="8">
        <v>46146</v>
      </c>
      <c r="E12" s="8">
        <v>46159</v>
      </c>
      <c r="F12" s="7">
        <v>14</v>
      </c>
      <c r="G12" s="7" t="s">
        <v>82</v>
      </c>
      <c r="H12" s="20"/>
      <c r="I12" s="20"/>
      <c r="J12" s="20"/>
      <c r="K12" s="20"/>
      <c r="L12" s="20"/>
      <c r="M12" s="20"/>
      <c r="N12" s="20"/>
      <c r="O12" s="19"/>
      <c r="P12" s="19"/>
      <c r="Q12" s="20"/>
      <c r="R12" s="20"/>
      <c r="S12" s="20"/>
      <c r="T12" s="20"/>
      <c r="U12" s="1"/>
      <c r="V12" s="1"/>
      <c r="W12" s="1"/>
      <c r="X12" s="1"/>
      <c r="Y12" s="1"/>
      <c r="Z12" s="1"/>
    </row>
    <row r="13" spans="1:26" ht="14.4">
      <c r="A13" s="7">
        <v>10</v>
      </c>
      <c r="B13" s="7" t="s">
        <v>97</v>
      </c>
      <c r="C13" s="7" t="s">
        <v>95</v>
      </c>
      <c r="D13" s="8">
        <v>46139</v>
      </c>
      <c r="E13" s="8">
        <v>46159</v>
      </c>
      <c r="F13" s="7">
        <v>21</v>
      </c>
      <c r="G13" s="7" t="s">
        <v>82</v>
      </c>
      <c r="H13" s="20"/>
      <c r="I13" s="20"/>
      <c r="J13" s="20"/>
      <c r="K13" s="20"/>
      <c r="L13" s="20"/>
      <c r="M13" s="20"/>
      <c r="N13" s="19"/>
      <c r="O13" s="19"/>
      <c r="P13" s="19"/>
      <c r="Q13" s="20"/>
      <c r="R13" s="20"/>
      <c r="S13" s="20"/>
      <c r="T13" s="20"/>
      <c r="U13" s="1"/>
      <c r="V13" s="1"/>
      <c r="W13" s="1"/>
      <c r="X13" s="1"/>
      <c r="Y13" s="1"/>
      <c r="Z13" s="1"/>
    </row>
    <row r="14" spans="1:26" ht="14.4">
      <c r="A14" s="7">
        <v>11</v>
      </c>
      <c r="B14" s="7" t="s">
        <v>98</v>
      </c>
      <c r="C14" s="7" t="s">
        <v>99</v>
      </c>
      <c r="D14" s="8">
        <v>46139</v>
      </c>
      <c r="E14" s="8">
        <v>46159</v>
      </c>
      <c r="F14" s="7">
        <v>21</v>
      </c>
      <c r="G14" s="7" t="s">
        <v>82</v>
      </c>
      <c r="H14" s="20"/>
      <c r="I14" s="20"/>
      <c r="J14" s="20"/>
      <c r="K14" s="20"/>
      <c r="L14" s="20"/>
      <c r="M14" s="20"/>
      <c r="N14" s="19"/>
      <c r="O14" s="19"/>
      <c r="P14" s="19"/>
      <c r="Q14" s="20"/>
      <c r="R14" s="20"/>
      <c r="S14" s="20"/>
      <c r="T14" s="20"/>
      <c r="U14" s="1"/>
      <c r="V14" s="1"/>
      <c r="W14" s="1"/>
      <c r="X14" s="1"/>
      <c r="Y14" s="1"/>
      <c r="Z14" s="1"/>
    </row>
    <row r="15" spans="1:26" ht="14.4">
      <c r="A15" s="33">
        <v>12</v>
      </c>
      <c r="B15" s="33" t="s">
        <v>100</v>
      </c>
      <c r="C15" s="33" t="s">
        <v>81</v>
      </c>
      <c r="D15" s="34">
        <v>46153</v>
      </c>
      <c r="E15" s="34">
        <v>46161</v>
      </c>
      <c r="F15" s="33">
        <v>9</v>
      </c>
      <c r="G15" s="33" t="s">
        <v>82</v>
      </c>
      <c r="H15" s="20"/>
      <c r="I15" s="20"/>
      <c r="J15" s="20"/>
      <c r="K15" s="20"/>
      <c r="L15" s="20"/>
      <c r="M15" s="20"/>
      <c r="N15" s="20"/>
      <c r="O15" s="20"/>
      <c r="P15" s="19"/>
      <c r="Q15" s="19"/>
      <c r="R15" s="20"/>
      <c r="S15" s="20"/>
      <c r="T15" s="20"/>
      <c r="U15" s="1"/>
      <c r="V15" s="1"/>
      <c r="W15" s="1"/>
      <c r="X15" s="1"/>
      <c r="Y15" s="1"/>
      <c r="Z15" s="1"/>
    </row>
    <row r="16" spans="1:26" ht="14.4">
      <c r="A16" s="11">
        <v>13</v>
      </c>
      <c r="B16" s="11" t="s">
        <v>102</v>
      </c>
      <c r="C16" s="11" t="s">
        <v>81</v>
      </c>
      <c r="D16" s="12">
        <v>46158</v>
      </c>
      <c r="E16" s="12">
        <v>46161</v>
      </c>
      <c r="F16" s="11">
        <v>4</v>
      </c>
      <c r="G16" s="11" t="s">
        <v>82</v>
      </c>
      <c r="H16" s="20"/>
      <c r="I16" s="20"/>
      <c r="J16" s="20"/>
      <c r="K16" s="20"/>
      <c r="L16" s="20"/>
      <c r="M16" s="20"/>
      <c r="N16" s="20"/>
      <c r="O16" s="20"/>
      <c r="P16" s="19"/>
      <c r="Q16" s="19"/>
      <c r="R16" s="20"/>
      <c r="S16" s="20"/>
      <c r="T16" s="20"/>
      <c r="U16" s="1"/>
      <c r="V16" s="1"/>
      <c r="W16" s="1"/>
      <c r="X16" s="1"/>
      <c r="Y16" s="1"/>
      <c r="Z16" s="1"/>
    </row>
    <row r="17" spans="1:26" ht="14.4">
      <c r="A17" s="9">
        <v>14</v>
      </c>
      <c r="B17" s="9" t="s">
        <v>103</v>
      </c>
      <c r="C17" s="9" t="s">
        <v>90</v>
      </c>
      <c r="D17" s="10">
        <v>46162</v>
      </c>
      <c r="E17" s="10">
        <v>46173</v>
      </c>
      <c r="F17" s="9">
        <v>12</v>
      </c>
      <c r="G17" s="9" t="s">
        <v>300</v>
      </c>
      <c r="H17" s="20"/>
      <c r="I17" s="20"/>
      <c r="J17" s="20"/>
      <c r="K17" s="20"/>
      <c r="L17" s="20"/>
      <c r="M17" s="20"/>
      <c r="N17" s="20"/>
      <c r="O17" s="20"/>
      <c r="P17" s="20"/>
      <c r="Q17" s="19"/>
      <c r="R17" s="19"/>
      <c r="S17" s="20"/>
      <c r="T17" s="20"/>
      <c r="U17" s="1"/>
      <c r="V17" s="1"/>
      <c r="W17" s="1"/>
      <c r="X17" s="1"/>
      <c r="Y17" s="1"/>
      <c r="Z17" s="1"/>
    </row>
    <row r="18" spans="1:26" ht="14.4">
      <c r="A18" s="9">
        <v>15</v>
      </c>
      <c r="B18" s="9" t="s">
        <v>104</v>
      </c>
      <c r="C18" s="9" t="s">
        <v>105</v>
      </c>
      <c r="D18" s="10">
        <v>46167</v>
      </c>
      <c r="E18" s="10">
        <v>46177</v>
      </c>
      <c r="F18" s="9">
        <v>11</v>
      </c>
      <c r="G18" s="9" t="s">
        <v>300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/>
      <c r="S18" s="19"/>
      <c r="T18" s="20"/>
      <c r="U18" s="1"/>
      <c r="V18" s="1"/>
      <c r="W18" s="1"/>
      <c r="X18" s="1"/>
      <c r="Y18" s="1"/>
      <c r="Z18" s="1"/>
    </row>
    <row r="19" spans="1:26" ht="14.4">
      <c r="A19" s="9">
        <v>16</v>
      </c>
      <c r="B19" s="9" t="s">
        <v>106</v>
      </c>
      <c r="C19" s="9" t="s">
        <v>81</v>
      </c>
      <c r="D19" s="10">
        <v>46174</v>
      </c>
      <c r="E19" s="10">
        <v>46181</v>
      </c>
      <c r="F19" s="9">
        <v>8</v>
      </c>
      <c r="G19" s="9" t="s">
        <v>300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19"/>
      <c r="T19" s="19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tabSelected="1" topLeftCell="I8" workbookViewId="0">
      <selection activeCell="C26" sqref="C26"/>
    </sheetView>
  </sheetViews>
  <sheetFormatPr baseColWidth="10" defaultColWidth="8.796875" defaultRowHeight="13.8"/>
  <cols>
    <col min="1" max="1" width="6" customWidth="1"/>
    <col min="2" max="2" width="22" customWidth="1"/>
    <col min="3" max="3" width="45" customWidth="1"/>
    <col min="4" max="5" width="13" customWidth="1"/>
    <col min="6" max="6" width="25" customWidth="1"/>
    <col min="7" max="7" width="16" customWidth="1"/>
    <col min="8" max="11" width="12" customWidth="1"/>
    <col min="12" max="16" width="15" customWidth="1"/>
  </cols>
  <sheetData>
    <row r="1" spans="1:26" ht="22.35" customHeight="1">
      <c r="A1" s="24" t="s">
        <v>107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3" t="s">
        <v>60</v>
      </c>
      <c r="B3" s="3" t="s">
        <v>108</v>
      </c>
      <c r="C3" s="3" t="s">
        <v>109</v>
      </c>
      <c r="D3" s="3" t="s">
        <v>63</v>
      </c>
      <c r="E3" s="3" t="s">
        <v>64</v>
      </c>
      <c r="F3" s="3" t="s">
        <v>62</v>
      </c>
      <c r="G3" s="3" t="s">
        <v>110</v>
      </c>
      <c r="H3" s="3" t="s">
        <v>111</v>
      </c>
      <c r="I3" s="3" t="s">
        <v>112</v>
      </c>
      <c r="J3" s="3" t="s">
        <v>113</v>
      </c>
      <c r="K3" s="3" t="s">
        <v>114</v>
      </c>
      <c r="L3" s="3" t="s">
        <v>115</v>
      </c>
      <c r="M3" s="3" t="s">
        <v>116</v>
      </c>
      <c r="N3" s="3" t="s">
        <v>117</v>
      </c>
      <c r="O3" s="3" t="s">
        <v>118</v>
      </c>
      <c r="P3" s="3" t="s">
        <v>66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>
        <v>1</v>
      </c>
      <c r="B4" s="1" t="s">
        <v>119</v>
      </c>
      <c r="C4" s="1" t="s">
        <v>120</v>
      </c>
      <c r="D4" s="4">
        <v>46097</v>
      </c>
      <c r="E4" s="4">
        <v>46103</v>
      </c>
      <c r="F4" s="1" t="s">
        <v>81</v>
      </c>
      <c r="G4" s="1" t="s">
        <v>121</v>
      </c>
      <c r="H4" s="13">
        <v>12</v>
      </c>
      <c r="I4" s="13">
        <v>12</v>
      </c>
      <c r="J4" s="13">
        <v>8</v>
      </c>
      <c r="K4" s="13">
        <v>32</v>
      </c>
      <c r="L4" s="14">
        <v>120000</v>
      </c>
      <c r="M4" s="14">
        <v>102000</v>
      </c>
      <c r="N4" s="14">
        <v>76000</v>
      </c>
      <c r="O4" s="14">
        <v>298000</v>
      </c>
      <c r="P4" s="1" t="s">
        <v>82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>
        <v>2</v>
      </c>
      <c r="B5" s="1" t="s">
        <v>122</v>
      </c>
      <c r="C5" s="1" t="s">
        <v>123</v>
      </c>
      <c r="D5" s="4">
        <v>46104</v>
      </c>
      <c r="E5" s="4">
        <v>46110</v>
      </c>
      <c r="F5" s="1" t="s">
        <v>86</v>
      </c>
      <c r="G5" s="1" t="s">
        <v>121</v>
      </c>
      <c r="H5" s="13">
        <v>12</v>
      </c>
      <c r="I5" s="13">
        <v>10</v>
      </c>
      <c r="J5" s="13">
        <v>4</v>
      </c>
      <c r="K5" s="13">
        <v>26</v>
      </c>
      <c r="L5" s="14">
        <v>120000</v>
      </c>
      <c r="M5" s="14">
        <v>85000</v>
      </c>
      <c r="N5" s="14">
        <v>38000</v>
      </c>
      <c r="O5" s="14">
        <v>243000</v>
      </c>
      <c r="P5" s="1" t="s">
        <v>82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>
        <v>3</v>
      </c>
      <c r="B6" s="1" t="s">
        <v>124</v>
      </c>
      <c r="C6" s="1" t="s">
        <v>125</v>
      </c>
      <c r="D6" s="4">
        <v>46111</v>
      </c>
      <c r="E6" s="4">
        <v>46117</v>
      </c>
      <c r="F6" s="1" t="s">
        <v>301</v>
      </c>
      <c r="G6" s="1" t="s">
        <v>126</v>
      </c>
      <c r="H6" s="13">
        <v>12</v>
      </c>
      <c r="I6" s="13">
        <v>4</v>
      </c>
      <c r="J6" s="13">
        <v>10</v>
      </c>
      <c r="K6" s="13">
        <v>26</v>
      </c>
      <c r="L6" s="14">
        <v>120000</v>
      </c>
      <c r="M6" s="14">
        <v>34000</v>
      </c>
      <c r="N6" s="14">
        <v>95000</v>
      </c>
      <c r="O6" s="14">
        <v>249000</v>
      </c>
      <c r="P6" s="1" t="s">
        <v>82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>
        <v>4</v>
      </c>
      <c r="B7" s="1" t="s">
        <v>127</v>
      </c>
      <c r="C7" s="1" t="s">
        <v>128</v>
      </c>
      <c r="D7" s="4">
        <v>46113</v>
      </c>
      <c r="E7" s="4">
        <v>46124</v>
      </c>
      <c r="F7" s="1" t="s">
        <v>86</v>
      </c>
      <c r="G7" s="1" t="s">
        <v>129</v>
      </c>
      <c r="H7" s="13">
        <v>4</v>
      </c>
      <c r="I7" s="13">
        <v>8</v>
      </c>
      <c r="J7" s="13">
        <v>12</v>
      </c>
      <c r="K7" s="13">
        <v>24</v>
      </c>
      <c r="L7" s="14">
        <v>40000</v>
      </c>
      <c r="M7" s="14">
        <v>68000</v>
      </c>
      <c r="N7" s="14">
        <v>114000</v>
      </c>
      <c r="O7" s="14">
        <v>222000</v>
      </c>
      <c r="P7" s="1" t="s">
        <v>82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>
        <v>5</v>
      </c>
      <c r="B8" s="1" t="s">
        <v>130</v>
      </c>
      <c r="C8" s="1" t="s">
        <v>131</v>
      </c>
      <c r="D8" s="4">
        <v>46118</v>
      </c>
      <c r="E8" s="4">
        <v>46131</v>
      </c>
      <c r="F8" s="1" t="s">
        <v>301</v>
      </c>
      <c r="G8" s="1" t="s">
        <v>126</v>
      </c>
      <c r="H8" s="13">
        <v>4</v>
      </c>
      <c r="I8" s="13">
        <v>12</v>
      </c>
      <c r="J8" s="13">
        <v>12</v>
      </c>
      <c r="K8" s="13">
        <v>28</v>
      </c>
      <c r="L8" s="14">
        <v>40000</v>
      </c>
      <c r="M8" s="14">
        <v>102000</v>
      </c>
      <c r="N8" s="14">
        <v>114000</v>
      </c>
      <c r="O8" s="14">
        <v>256000</v>
      </c>
      <c r="P8" s="1" t="s">
        <v>82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>
        <v>6</v>
      </c>
      <c r="B9" s="1" t="s">
        <v>132</v>
      </c>
      <c r="C9" s="1" t="s">
        <v>133</v>
      </c>
      <c r="D9" s="4">
        <v>46125</v>
      </c>
      <c r="E9" s="4">
        <v>46138</v>
      </c>
      <c r="F9" s="1" t="s">
        <v>92</v>
      </c>
      <c r="G9" s="1" t="s">
        <v>134</v>
      </c>
      <c r="H9" s="13">
        <v>24</v>
      </c>
      <c r="I9" s="13">
        <v>4</v>
      </c>
      <c r="J9" s="13">
        <v>6</v>
      </c>
      <c r="K9" s="13">
        <v>34</v>
      </c>
      <c r="L9" s="14">
        <v>240000</v>
      </c>
      <c r="M9" s="14">
        <v>34000</v>
      </c>
      <c r="N9" s="14">
        <v>57000</v>
      </c>
      <c r="O9" s="14">
        <v>331000</v>
      </c>
      <c r="P9" s="1" t="s">
        <v>82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>
        <v>7</v>
      </c>
      <c r="B10" s="1" t="s">
        <v>135</v>
      </c>
      <c r="C10" s="1" t="s">
        <v>136</v>
      </c>
      <c r="D10" s="4">
        <v>46132</v>
      </c>
      <c r="E10" s="4">
        <v>46145</v>
      </c>
      <c r="F10" s="1" t="s">
        <v>86</v>
      </c>
      <c r="G10" s="1" t="s">
        <v>134</v>
      </c>
      <c r="H10" s="13">
        <v>18</v>
      </c>
      <c r="I10" s="13">
        <v>4</v>
      </c>
      <c r="J10" s="13">
        <v>12</v>
      </c>
      <c r="K10" s="13">
        <v>34</v>
      </c>
      <c r="L10" s="14">
        <v>180000</v>
      </c>
      <c r="M10" s="14">
        <v>34000</v>
      </c>
      <c r="N10" s="14">
        <v>114000</v>
      </c>
      <c r="O10" s="14">
        <v>328000</v>
      </c>
      <c r="P10" s="1" t="s">
        <v>82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>
        <v>8</v>
      </c>
      <c r="B11" s="1" t="s">
        <v>137</v>
      </c>
      <c r="C11" s="1" t="s">
        <v>138</v>
      </c>
      <c r="D11" s="4">
        <v>46139</v>
      </c>
      <c r="E11" s="4">
        <v>46152</v>
      </c>
      <c r="F11" s="1" t="s">
        <v>95</v>
      </c>
      <c r="G11" s="1" t="s">
        <v>134</v>
      </c>
      <c r="H11" s="13">
        <v>12</v>
      </c>
      <c r="I11" s="13">
        <v>4</v>
      </c>
      <c r="J11" s="13">
        <v>18</v>
      </c>
      <c r="K11" s="13">
        <v>34</v>
      </c>
      <c r="L11" s="14">
        <v>120000</v>
      </c>
      <c r="M11" s="14">
        <v>34000</v>
      </c>
      <c r="N11" s="14">
        <v>171000</v>
      </c>
      <c r="O11" s="14">
        <v>325000</v>
      </c>
      <c r="P11" s="1" t="s">
        <v>82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>
        <v>9</v>
      </c>
      <c r="B12" s="1" t="s">
        <v>139</v>
      </c>
      <c r="C12" s="1" t="s">
        <v>140</v>
      </c>
      <c r="D12" s="4">
        <v>46146</v>
      </c>
      <c r="E12" s="4">
        <v>46159</v>
      </c>
      <c r="F12" s="1" t="s">
        <v>301</v>
      </c>
      <c r="G12" s="1" t="s">
        <v>141</v>
      </c>
      <c r="H12" s="13">
        <v>16</v>
      </c>
      <c r="I12" s="13">
        <v>12</v>
      </c>
      <c r="J12" s="13">
        <v>6</v>
      </c>
      <c r="K12" s="13">
        <v>34</v>
      </c>
      <c r="L12" s="14">
        <v>160000</v>
      </c>
      <c r="M12" s="14">
        <v>102000</v>
      </c>
      <c r="N12" s="14">
        <v>57000</v>
      </c>
      <c r="O12" s="14">
        <v>319000</v>
      </c>
      <c r="P12" s="1" t="s">
        <v>82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>
        <v>10</v>
      </c>
      <c r="B13" s="1" t="s">
        <v>142</v>
      </c>
      <c r="C13" s="1" t="s">
        <v>143</v>
      </c>
      <c r="D13" s="4">
        <v>46139</v>
      </c>
      <c r="E13" s="4">
        <v>46159</v>
      </c>
      <c r="F13" s="1" t="s">
        <v>95</v>
      </c>
      <c r="G13" s="1" t="s">
        <v>144</v>
      </c>
      <c r="H13" s="13">
        <v>12</v>
      </c>
      <c r="I13" s="13">
        <v>8</v>
      </c>
      <c r="J13" s="13">
        <v>28</v>
      </c>
      <c r="K13" s="13">
        <v>48</v>
      </c>
      <c r="L13" s="14">
        <v>120000</v>
      </c>
      <c r="M13" s="14">
        <v>68000</v>
      </c>
      <c r="N13" s="14">
        <v>266000</v>
      </c>
      <c r="O13" s="14">
        <v>454000</v>
      </c>
      <c r="P13" s="1" t="s">
        <v>82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>
        <v>11</v>
      </c>
      <c r="B14" s="1" t="s">
        <v>145</v>
      </c>
      <c r="C14" s="1" t="s">
        <v>146</v>
      </c>
      <c r="D14" s="4">
        <v>46139</v>
      </c>
      <c r="E14" s="4">
        <v>46159</v>
      </c>
      <c r="F14" s="1" t="s">
        <v>99</v>
      </c>
      <c r="G14" s="1" t="s">
        <v>147</v>
      </c>
      <c r="H14" s="13">
        <v>4</v>
      </c>
      <c r="I14" s="13">
        <v>32</v>
      </c>
      <c r="J14" s="13">
        <v>4</v>
      </c>
      <c r="K14" s="13">
        <v>40</v>
      </c>
      <c r="L14" s="14">
        <v>40000</v>
      </c>
      <c r="M14" s="14">
        <v>272000</v>
      </c>
      <c r="N14" s="14">
        <v>38000</v>
      </c>
      <c r="O14" s="14">
        <v>350000</v>
      </c>
      <c r="P14" s="1" t="s">
        <v>82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>
        <v>12</v>
      </c>
      <c r="B15" s="1" t="s">
        <v>148</v>
      </c>
      <c r="C15" s="1" t="s">
        <v>149</v>
      </c>
      <c r="D15" s="4">
        <v>46153</v>
      </c>
      <c r="E15" s="4">
        <v>46161</v>
      </c>
      <c r="F15" s="1" t="s">
        <v>302</v>
      </c>
      <c r="G15" s="1" t="s">
        <v>150</v>
      </c>
      <c r="H15" s="13">
        <v>10</v>
      </c>
      <c r="I15" s="13">
        <v>10</v>
      </c>
      <c r="J15" s="13">
        <v>10</v>
      </c>
      <c r="K15" s="13">
        <v>30</v>
      </c>
      <c r="L15" s="14">
        <v>100000</v>
      </c>
      <c r="M15" s="14">
        <v>85000</v>
      </c>
      <c r="N15" s="14">
        <v>95000</v>
      </c>
      <c r="O15" s="14">
        <v>280000</v>
      </c>
      <c r="P15" s="1" t="s">
        <v>82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>
        <v>13</v>
      </c>
      <c r="B16" s="1" t="s">
        <v>151</v>
      </c>
      <c r="C16" s="1" t="s">
        <v>152</v>
      </c>
      <c r="D16" s="4">
        <v>46158</v>
      </c>
      <c r="E16" s="4">
        <v>46161</v>
      </c>
      <c r="F16" s="1" t="s">
        <v>92</v>
      </c>
      <c r="G16" s="1" t="s">
        <v>153</v>
      </c>
      <c r="H16" s="13">
        <v>8</v>
      </c>
      <c r="I16" s="13">
        <v>8</v>
      </c>
      <c r="J16" s="13">
        <v>8</v>
      </c>
      <c r="K16" s="13">
        <v>24</v>
      </c>
      <c r="L16" s="14">
        <v>80000</v>
      </c>
      <c r="M16" s="14">
        <v>68000</v>
      </c>
      <c r="N16" s="14">
        <v>76000</v>
      </c>
      <c r="O16" s="14">
        <v>224000</v>
      </c>
      <c r="P16" s="1" t="s">
        <v>82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>
        <v>14</v>
      </c>
      <c r="B17" s="1" t="s">
        <v>154</v>
      </c>
      <c r="C17" s="1" t="s">
        <v>155</v>
      </c>
      <c r="D17" s="4">
        <v>46162</v>
      </c>
      <c r="E17" s="4">
        <v>46173</v>
      </c>
      <c r="F17" s="1" t="s">
        <v>90</v>
      </c>
      <c r="G17" s="1" t="s">
        <v>156</v>
      </c>
      <c r="H17" s="13">
        <v>6</v>
      </c>
      <c r="I17" s="13">
        <v>18</v>
      </c>
      <c r="J17" s="13">
        <v>12</v>
      </c>
      <c r="K17" s="13">
        <v>36</v>
      </c>
      <c r="L17" s="14">
        <v>60000</v>
      </c>
      <c r="M17" s="14">
        <v>153000</v>
      </c>
      <c r="N17" s="14">
        <v>114000</v>
      </c>
      <c r="O17" s="14">
        <v>327000</v>
      </c>
      <c r="P17" s="1" t="s">
        <v>101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>
        <v>15</v>
      </c>
      <c r="B18" s="1" t="s">
        <v>157</v>
      </c>
      <c r="C18" s="1" t="s">
        <v>158</v>
      </c>
      <c r="D18" s="4">
        <v>46167</v>
      </c>
      <c r="E18" s="4">
        <v>46177</v>
      </c>
      <c r="F18" s="1" t="s">
        <v>105</v>
      </c>
      <c r="G18" s="1" t="s">
        <v>159</v>
      </c>
      <c r="H18" s="13">
        <v>10</v>
      </c>
      <c r="I18" s="13">
        <v>14</v>
      </c>
      <c r="J18" s="13">
        <v>4</v>
      </c>
      <c r="K18" s="13">
        <v>28</v>
      </c>
      <c r="L18" s="14">
        <v>100000</v>
      </c>
      <c r="M18" s="14">
        <v>119000</v>
      </c>
      <c r="N18" s="14">
        <v>38000</v>
      </c>
      <c r="O18" s="14">
        <v>257000</v>
      </c>
      <c r="P18" s="1" t="s">
        <v>101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>
        <v>16</v>
      </c>
      <c r="B19" s="1" t="s">
        <v>160</v>
      </c>
      <c r="C19" s="1" t="s">
        <v>161</v>
      </c>
      <c r="D19" s="4">
        <v>46174</v>
      </c>
      <c r="E19" s="4">
        <v>46181</v>
      </c>
      <c r="F19" s="1" t="s">
        <v>81</v>
      </c>
      <c r="G19" s="1" t="s">
        <v>162</v>
      </c>
      <c r="H19" s="13">
        <v>10</v>
      </c>
      <c r="I19" s="13">
        <v>10</v>
      </c>
      <c r="J19" s="13">
        <v>10</v>
      </c>
      <c r="K19" s="13">
        <v>30</v>
      </c>
      <c r="L19" s="14">
        <v>100000</v>
      </c>
      <c r="M19" s="14">
        <v>85000</v>
      </c>
      <c r="N19" s="14">
        <v>95000</v>
      </c>
      <c r="O19" s="14">
        <v>280000</v>
      </c>
      <c r="P19" s="1" t="s">
        <v>101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5"/>
      <c r="B21" s="15" t="s">
        <v>163</v>
      </c>
      <c r="C21" s="15"/>
      <c r="D21" s="15"/>
      <c r="E21" s="15"/>
      <c r="F21" s="15"/>
      <c r="G21" s="15"/>
      <c r="H21" s="15">
        <f t="shared" ref="H21:O21" si="0">SUM(H4:H19)</f>
        <v>174</v>
      </c>
      <c r="I21" s="15">
        <f t="shared" si="0"/>
        <v>170</v>
      </c>
      <c r="J21" s="15">
        <f t="shared" si="0"/>
        <v>164</v>
      </c>
      <c r="K21" s="15">
        <f t="shared" si="0"/>
        <v>508</v>
      </c>
      <c r="L21" s="16">
        <f t="shared" si="0"/>
        <v>1740000</v>
      </c>
      <c r="M21" s="16">
        <f t="shared" si="0"/>
        <v>1445000</v>
      </c>
      <c r="N21" s="16">
        <f t="shared" si="0"/>
        <v>1558000</v>
      </c>
      <c r="O21" s="16">
        <f t="shared" si="0"/>
        <v>4743000</v>
      </c>
      <c r="P21" s="1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topLeftCell="D1" workbookViewId="0">
      <selection activeCell="O12" sqref="O12"/>
    </sheetView>
  </sheetViews>
  <sheetFormatPr baseColWidth="10" defaultColWidth="8.796875" defaultRowHeight="13.8"/>
  <cols>
    <col min="1" max="1" width="3.69921875" style="30" bestFit="1" customWidth="1"/>
    <col min="2" max="2" width="12.8984375" style="30" bestFit="1" customWidth="1"/>
    <col min="3" max="3" width="14.09765625" style="30" bestFit="1" customWidth="1"/>
    <col min="4" max="4" width="14.59765625" style="30" bestFit="1" customWidth="1"/>
    <col min="5" max="5" width="12.69921875" style="30" bestFit="1" customWidth="1"/>
    <col min="6" max="6" width="7.5" style="30" bestFit="1" customWidth="1"/>
    <col min="7" max="7" width="15.09765625" style="30" bestFit="1" customWidth="1"/>
    <col min="8" max="8" width="13.59765625" style="30" bestFit="1" customWidth="1"/>
    <col min="9" max="9" width="12.19921875" style="30" bestFit="1" customWidth="1"/>
    <col min="10" max="10" width="15" style="30" bestFit="1" customWidth="1"/>
    <col min="11" max="11" width="18" style="30" customWidth="1"/>
    <col min="12" max="12" width="17.296875" style="30" bestFit="1" customWidth="1"/>
    <col min="13" max="13" width="13.5" style="30" bestFit="1" customWidth="1"/>
    <col min="14" max="14" width="11.09765625" style="30" bestFit="1" customWidth="1"/>
    <col min="15" max="15" width="10.19921875" style="30" bestFit="1" customWidth="1"/>
    <col min="16" max="16" width="11.09765625" style="30" bestFit="1" customWidth="1"/>
  </cols>
  <sheetData>
    <row r="1" spans="1:26" ht="22.35" customHeight="1">
      <c r="A1" s="24" t="s">
        <v>164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3" t="s">
        <v>165</v>
      </c>
      <c r="B3" s="3" t="s">
        <v>166</v>
      </c>
      <c r="C3" s="3" t="s">
        <v>167</v>
      </c>
      <c r="D3" s="3" t="s">
        <v>168</v>
      </c>
      <c r="E3" s="3" t="s">
        <v>169</v>
      </c>
      <c r="F3" s="3" t="s">
        <v>170</v>
      </c>
      <c r="G3" s="3" t="s">
        <v>171</v>
      </c>
      <c r="H3" s="3" t="s">
        <v>172</v>
      </c>
      <c r="I3" s="3" t="s">
        <v>173</v>
      </c>
      <c r="J3" s="3" t="s">
        <v>174</v>
      </c>
      <c r="K3" s="3" t="s">
        <v>175</v>
      </c>
      <c r="L3" s="3" t="s">
        <v>176</v>
      </c>
      <c r="M3" s="3" t="s">
        <v>177</v>
      </c>
      <c r="N3" s="3" t="s">
        <v>178</v>
      </c>
      <c r="O3" s="3" t="s">
        <v>179</v>
      </c>
      <c r="P3" s="3" t="s">
        <v>180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27">
        <v>1</v>
      </c>
      <c r="B4" s="27">
        <v>25</v>
      </c>
      <c r="C4" s="28">
        <v>35000</v>
      </c>
      <c r="D4" s="27">
        <v>4</v>
      </c>
      <c r="E4" s="28">
        <v>25000</v>
      </c>
      <c r="F4" s="29">
        <v>0.08</v>
      </c>
      <c r="G4" s="28">
        <v>10500000</v>
      </c>
      <c r="H4" s="28">
        <v>2400000</v>
      </c>
      <c r="I4" s="28">
        <v>12900000</v>
      </c>
      <c r="J4" s="28">
        <v>900000</v>
      </c>
      <c r="K4" s="28">
        <v>1800000</v>
      </c>
      <c r="L4" s="28">
        <v>1200000</v>
      </c>
      <c r="M4" s="28">
        <v>3900000</v>
      </c>
      <c r="N4" s="28">
        <v>9000000</v>
      </c>
      <c r="O4" s="28">
        <v>2430000</v>
      </c>
      <c r="P4" s="28">
        <v>6570000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27">
        <v>2</v>
      </c>
      <c r="B5" s="27">
        <v>60</v>
      </c>
      <c r="C5" s="28">
        <v>40000</v>
      </c>
      <c r="D5" s="27">
        <v>6</v>
      </c>
      <c r="E5" s="28">
        <v>27000</v>
      </c>
      <c r="F5" s="29">
        <v>0.08</v>
      </c>
      <c r="G5" s="28">
        <v>28800000</v>
      </c>
      <c r="H5" s="28">
        <v>9331200</v>
      </c>
      <c r="I5" s="28">
        <v>38131200</v>
      </c>
      <c r="J5" s="28">
        <v>2400000</v>
      </c>
      <c r="K5" s="28">
        <v>6000000</v>
      </c>
      <c r="L5" s="28">
        <v>2500000</v>
      </c>
      <c r="M5" s="28">
        <v>10900000</v>
      </c>
      <c r="N5" s="28">
        <v>27231200</v>
      </c>
      <c r="O5" s="28">
        <v>7352424.0000000009</v>
      </c>
      <c r="P5" s="28">
        <v>19878776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27">
        <v>3</v>
      </c>
      <c r="B6" s="27">
        <v>120</v>
      </c>
      <c r="C6" s="28">
        <v>50000</v>
      </c>
      <c r="D6" s="27">
        <v>8</v>
      </c>
      <c r="E6" s="28">
        <v>30000</v>
      </c>
      <c r="F6" s="29">
        <v>0.09</v>
      </c>
      <c r="G6" s="28">
        <v>72000000</v>
      </c>
      <c r="H6" s="28">
        <v>31104000</v>
      </c>
      <c r="I6" s="28">
        <v>103104000</v>
      </c>
      <c r="J6" s="28">
        <v>5200000</v>
      </c>
      <c r="K6" s="28">
        <v>14000000</v>
      </c>
      <c r="L6" s="28">
        <v>4500000</v>
      </c>
      <c r="M6" s="28">
        <v>23700000</v>
      </c>
      <c r="N6" s="28">
        <v>79404000</v>
      </c>
      <c r="O6" s="28">
        <v>21439080</v>
      </c>
      <c r="P6" s="28">
        <v>57964920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27">
        <v>4</v>
      </c>
      <c r="B7" s="27">
        <v>200</v>
      </c>
      <c r="C7" s="28">
        <v>60000</v>
      </c>
      <c r="D7" s="27">
        <v>10</v>
      </c>
      <c r="E7" s="28">
        <v>32000</v>
      </c>
      <c r="F7" s="29">
        <v>0.09</v>
      </c>
      <c r="G7" s="28">
        <v>144000000</v>
      </c>
      <c r="H7" s="28">
        <v>69120000</v>
      </c>
      <c r="I7" s="28">
        <v>213120000</v>
      </c>
      <c r="J7" s="28">
        <v>9000000</v>
      </c>
      <c r="K7" s="28">
        <v>28000000</v>
      </c>
      <c r="L7" s="28">
        <v>7500000</v>
      </c>
      <c r="M7" s="28">
        <v>44500000</v>
      </c>
      <c r="N7" s="28">
        <v>168620000</v>
      </c>
      <c r="O7" s="28">
        <v>45527400</v>
      </c>
      <c r="P7" s="28">
        <v>123092600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27">
        <v>5</v>
      </c>
      <c r="B8" s="27">
        <v>320</v>
      </c>
      <c r="C8" s="28">
        <v>70000</v>
      </c>
      <c r="D8" s="27">
        <v>12</v>
      </c>
      <c r="E8" s="28">
        <v>35000</v>
      </c>
      <c r="F8" s="29">
        <v>0.1</v>
      </c>
      <c r="G8" s="28">
        <v>268800000</v>
      </c>
      <c r="H8" s="28">
        <v>161280000</v>
      </c>
      <c r="I8" s="28">
        <v>430080000</v>
      </c>
      <c r="J8" s="28">
        <v>14500000</v>
      </c>
      <c r="K8" s="28">
        <v>50000000</v>
      </c>
      <c r="L8" s="28">
        <v>12000000</v>
      </c>
      <c r="M8" s="28">
        <v>76500000</v>
      </c>
      <c r="N8" s="28">
        <v>353580000</v>
      </c>
      <c r="O8" s="28">
        <v>95466600</v>
      </c>
      <c r="P8" s="28">
        <v>258113400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P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>
      <selection activeCell="C17" sqref="C17"/>
    </sheetView>
  </sheetViews>
  <sheetFormatPr baseColWidth="10" defaultColWidth="8.796875" defaultRowHeight="13.8"/>
  <cols>
    <col min="1" max="1" width="22" customWidth="1"/>
    <col min="2" max="2" width="10" customWidth="1"/>
    <col min="3" max="3" width="35" customWidth="1"/>
    <col min="4" max="4" width="12" customWidth="1"/>
    <col min="5" max="5" width="16" customWidth="1"/>
    <col min="6" max="7" width="30" customWidth="1"/>
    <col min="8" max="8" width="35" customWidth="1"/>
  </cols>
  <sheetData>
    <row r="1" spans="1:26" ht="22.35" customHeight="1">
      <c r="A1" s="35" t="s">
        <v>181</v>
      </c>
      <c r="B1" s="36"/>
      <c r="C1" s="36"/>
      <c r="D1" s="36"/>
      <c r="E1" s="36"/>
      <c r="F1" s="36"/>
      <c r="G1" s="36"/>
      <c r="H1" s="3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3" t="s">
        <v>182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 t="s">
        <v>190</v>
      </c>
      <c r="B4" s="17">
        <v>0.18</v>
      </c>
      <c r="C4" s="1" t="s">
        <v>191</v>
      </c>
      <c r="D4" s="1">
        <v>4.2</v>
      </c>
      <c r="E4" s="18">
        <f t="shared" ref="E4:E11" si="0">B4*D4</f>
        <v>0.75600000000000001</v>
      </c>
      <c r="F4" s="1" t="s">
        <v>192</v>
      </c>
      <c r="G4" s="1" t="s">
        <v>193</v>
      </c>
      <c r="H4" s="1" t="s">
        <v>194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 t="s">
        <v>195</v>
      </c>
      <c r="B5" s="17">
        <v>0.15</v>
      </c>
      <c r="C5" s="1" t="s">
        <v>196</v>
      </c>
      <c r="D5" s="1">
        <v>4</v>
      </c>
      <c r="E5" s="18">
        <f t="shared" si="0"/>
        <v>0.6</v>
      </c>
      <c r="F5" s="1" t="s">
        <v>197</v>
      </c>
      <c r="G5" s="1" t="s">
        <v>198</v>
      </c>
      <c r="H5" s="1" t="s">
        <v>199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 t="s">
        <v>200</v>
      </c>
      <c r="B6" s="17">
        <v>0.15</v>
      </c>
      <c r="C6" s="1" t="s">
        <v>201</v>
      </c>
      <c r="D6" s="1">
        <v>3.8</v>
      </c>
      <c r="E6" s="18">
        <f t="shared" si="0"/>
        <v>0.56999999999999995</v>
      </c>
      <c r="F6" s="1" t="s">
        <v>202</v>
      </c>
      <c r="G6" s="1" t="s">
        <v>203</v>
      </c>
      <c r="H6" s="1" t="s">
        <v>204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 t="s">
        <v>205</v>
      </c>
      <c r="B7" s="17">
        <v>0.12</v>
      </c>
      <c r="C7" s="1" t="s">
        <v>206</v>
      </c>
      <c r="D7" s="1">
        <v>3.2</v>
      </c>
      <c r="E7" s="18">
        <f t="shared" si="0"/>
        <v>0.38400000000000001</v>
      </c>
      <c r="F7" s="1" t="s">
        <v>207</v>
      </c>
      <c r="G7" s="1" t="s">
        <v>208</v>
      </c>
      <c r="H7" s="1" t="s">
        <v>209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 t="s">
        <v>210</v>
      </c>
      <c r="B8" s="17">
        <v>0.12</v>
      </c>
      <c r="C8" s="1" t="s">
        <v>211</v>
      </c>
      <c r="D8" s="1">
        <v>3.6</v>
      </c>
      <c r="E8" s="18">
        <f t="shared" si="0"/>
        <v>0.432</v>
      </c>
      <c r="F8" s="1" t="s">
        <v>212</v>
      </c>
      <c r="G8" s="1" t="s">
        <v>213</v>
      </c>
      <c r="H8" s="1" t="s">
        <v>214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 t="s">
        <v>215</v>
      </c>
      <c r="B9" s="17">
        <v>0.12</v>
      </c>
      <c r="C9" s="1" t="s">
        <v>216</v>
      </c>
      <c r="D9" s="1">
        <v>3.7</v>
      </c>
      <c r="E9" s="18">
        <f t="shared" si="0"/>
        <v>0.44400000000000001</v>
      </c>
      <c r="F9" s="1" t="s">
        <v>217</v>
      </c>
      <c r="G9" s="1" t="s">
        <v>218</v>
      </c>
      <c r="H9" s="1" t="s">
        <v>219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 t="s">
        <v>220</v>
      </c>
      <c r="B10" s="17">
        <v>0.08</v>
      </c>
      <c r="C10" s="1" t="s">
        <v>221</v>
      </c>
      <c r="D10" s="1">
        <v>4</v>
      </c>
      <c r="E10" s="18">
        <f t="shared" si="0"/>
        <v>0.32</v>
      </c>
      <c r="F10" s="1" t="s">
        <v>222</v>
      </c>
      <c r="G10" s="1" t="s">
        <v>223</v>
      </c>
      <c r="H10" s="1" t="s">
        <v>224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 t="s">
        <v>225</v>
      </c>
      <c r="B11" s="17">
        <v>0.08</v>
      </c>
      <c r="C11" s="1" t="s">
        <v>226</v>
      </c>
      <c r="D11" s="1">
        <v>4.0999999999999996</v>
      </c>
      <c r="E11" s="18">
        <f t="shared" si="0"/>
        <v>0.32799999999999996</v>
      </c>
      <c r="F11" s="1" t="s">
        <v>227</v>
      </c>
      <c r="G11" s="1" t="s">
        <v>228</v>
      </c>
      <c r="H11" s="1" t="s">
        <v>229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37" t="s">
        <v>230</v>
      </c>
      <c r="B13" s="37"/>
      <c r="C13" s="37"/>
      <c r="D13" s="37"/>
      <c r="E13" s="38">
        <f>SUM(E4:E11)</f>
        <v>3.8339999999999992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activeCell="D12" sqref="D12"/>
    </sheetView>
  </sheetViews>
  <sheetFormatPr baseColWidth="10" defaultColWidth="8.796875" defaultRowHeight="13.8"/>
  <cols>
    <col min="1" max="1" width="13.19921875" style="42" customWidth="1"/>
    <col min="2" max="2" width="39.5" style="42" customWidth="1"/>
    <col min="3" max="3" width="36.296875" style="42" customWidth="1"/>
    <col min="4" max="4" width="33" style="42" customWidth="1"/>
    <col min="5" max="5" width="32" style="42" customWidth="1"/>
    <col min="6" max="6" width="38.3984375" style="42" customWidth="1"/>
  </cols>
  <sheetData>
    <row r="1" spans="1:26" ht="22.35" customHeight="1">
      <c r="A1" s="24" t="s">
        <v>231</v>
      </c>
      <c r="B1" s="25"/>
      <c r="C1" s="25"/>
      <c r="D1" s="25"/>
      <c r="E1" s="25"/>
      <c r="F1" s="25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41"/>
      <c r="B2" s="41"/>
      <c r="C2" s="41"/>
      <c r="D2" s="41"/>
      <c r="E2" s="41"/>
      <c r="F2" s="4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3" t="s">
        <v>232</v>
      </c>
      <c r="B3" s="3" t="s">
        <v>233</v>
      </c>
      <c r="C3" s="3" t="s">
        <v>234</v>
      </c>
      <c r="D3" s="3" t="s">
        <v>235</v>
      </c>
      <c r="E3" s="3" t="s">
        <v>236</v>
      </c>
      <c r="F3" s="3" t="s">
        <v>237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5.2">
      <c r="A4" s="41" t="s">
        <v>238</v>
      </c>
      <c r="B4" s="39" t="s">
        <v>239</v>
      </c>
      <c r="C4" s="39" t="s">
        <v>240</v>
      </c>
      <c r="D4" s="39" t="s">
        <v>241</v>
      </c>
      <c r="E4" s="39" t="s">
        <v>242</v>
      </c>
      <c r="F4" s="39" t="s">
        <v>243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1" t="s">
        <v>244</v>
      </c>
      <c r="B5" s="39" t="s">
        <v>245</v>
      </c>
      <c r="C5" s="39" t="s">
        <v>246</v>
      </c>
      <c r="D5" s="39" t="s">
        <v>247</v>
      </c>
      <c r="E5" s="39" t="s">
        <v>248</v>
      </c>
      <c r="F5" s="39" t="s">
        <v>249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1" t="s">
        <v>250</v>
      </c>
      <c r="B6" s="39" t="s">
        <v>251</v>
      </c>
      <c r="C6" s="39" t="s">
        <v>252</v>
      </c>
      <c r="D6" s="39" t="s">
        <v>253</v>
      </c>
      <c r="E6" s="39" t="s">
        <v>254</v>
      </c>
      <c r="F6" s="39" t="s">
        <v>255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41" t="s">
        <v>256</v>
      </c>
      <c r="B7" s="39" t="s">
        <v>257</v>
      </c>
      <c r="C7" s="39" t="s">
        <v>258</v>
      </c>
      <c r="D7" s="39" t="s">
        <v>259</v>
      </c>
      <c r="E7" s="39" t="s">
        <v>260</v>
      </c>
      <c r="F7" s="39" t="s">
        <v>261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41"/>
      <c r="B8" s="41"/>
      <c r="C8" s="41"/>
      <c r="D8" s="41"/>
      <c r="E8" s="41"/>
      <c r="F8" s="4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41"/>
      <c r="B9" s="41"/>
      <c r="C9" s="41"/>
      <c r="D9" s="41"/>
      <c r="E9" s="41"/>
      <c r="F9" s="4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41"/>
      <c r="B10" s="41"/>
      <c r="C10" s="41"/>
      <c r="D10" s="41"/>
      <c r="E10" s="41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41"/>
      <c r="B11" s="41"/>
      <c r="C11" s="41"/>
      <c r="D11" s="41"/>
      <c r="E11" s="41"/>
      <c r="F11" s="4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41"/>
      <c r="B12" s="41"/>
      <c r="C12" s="41"/>
      <c r="D12" s="41"/>
      <c r="E12" s="41"/>
      <c r="F12" s="4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41"/>
      <c r="B13" s="41"/>
      <c r="C13" s="41"/>
      <c r="D13" s="41"/>
      <c r="E13" s="41"/>
      <c r="F13" s="4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41"/>
      <c r="B14" s="41"/>
      <c r="C14" s="41"/>
      <c r="D14" s="41"/>
      <c r="E14" s="41"/>
      <c r="F14" s="4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41"/>
      <c r="B15" s="41"/>
      <c r="C15" s="41"/>
      <c r="D15" s="41"/>
      <c r="E15" s="41"/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41"/>
      <c r="B16" s="41"/>
      <c r="C16" s="41"/>
      <c r="D16" s="41"/>
      <c r="E16" s="41"/>
      <c r="F16" s="4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41"/>
      <c r="B17" s="41"/>
      <c r="C17" s="41"/>
      <c r="D17" s="41"/>
      <c r="E17" s="41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41"/>
      <c r="B18" s="41"/>
      <c r="C18" s="41"/>
      <c r="D18" s="41"/>
      <c r="E18" s="41"/>
      <c r="F18" s="4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41"/>
      <c r="B19" s="41"/>
      <c r="C19" s="41"/>
      <c r="D19" s="41"/>
      <c r="E19" s="41"/>
      <c r="F19" s="4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41"/>
      <c r="B20" s="41"/>
      <c r="C20" s="41"/>
      <c r="D20" s="41"/>
      <c r="E20" s="41"/>
      <c r="F20" s="4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41"/>
      <c r="B21" s="41"/>
      <c r="C21" s="41"/>
      <c r="D21" s="41"/>
      <c r="E21" s="41"/>
      <c r="F21" s="4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41"/>
      <c r="B22" s="41"/>
      <c r="C22" s="41"/>
      <c r="D22" s="41"/>
      <c r="E22" s="41"/>
      <c r="F22" s="4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41"/>
      <c r="B23" s="41"/>
      <c r="C23" s="41"/>
      <c r="D23" s="41"/>
      <c r="E23" s="41"/>
      <c r="F23" s="4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41"/>
      <c r="B24" s="41"/>
      <c r="C24" s="41"/>
      <c r="D24" s="41"/>
      <c r="E24" s="41"/>
      <c r="F24" s="4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41"/>
      <c r="B25" s="41"/>
      <c r="C25" s="41"/>
      <c r="D25" s="41"/>
      <c r="E25" s="41"/>
      <c r="F25" s="4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41"/>
      <c r="B26" s="41"/>
      <c r="C26" s="41"/>
      <c r="D26" s="41"/>
      <c r="E26" s="41"/>
      <c r="F26" s="4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41"/>
      <c r="B27" s="41"/>
      <c r="C27" s="41"/>
      <c r="D27" s="41"/>
      <c r="E27" s="41"/>
      <c r="F27" s="4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41"/>
      <c r="B28" s="41"/>
      <c r="C28" s="41"/>
      <c r="D28" s="41"/>
      <c r="E28" s="41"/>
      <c r="F28" s="4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41"/>
      <c r="B29" s="41"/>
      <c r="C29" s="41"/>
      <c r="D29" s="41"/>
      <c r="E29" s="41"/>
      <c r="F29" s="4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41"/>
      <c r="B30" s="41"/>
      <c r="C30" s="41"/>
      <c r="D30" s="41"/>
      <c r="E30" s="41"/>
      <c r="F30" s="4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41"/>
      <c r="B31" s="41"/>
      <c r="C31" s="41"/>
      <c r="D31" s="41"/>
      <c r="E31" s="41"/>
      <c r="F31" s="4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41"/>
      <c r="B32" s="41"/>
      <c r="C32" s="41"/>
      <c r="D32" s="41"/>
      <c r="E32" s="41"/>
      <c r="F32" s="4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41"/>
      <c r="B33" s="41"/>
      <c r="C33" s="41"/>
      <c r="D33" s="41"/>
      <c r="E33" s="41"/>
      <c r="F33" s="4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41"/>
      <c r="B34" s="41"/>
      <c r="C34" s="41"/>
      <c r="D34" s="41"/>
      <c r="E34" s="41"/>
      <c r="F34" s="4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41"/>
      <c r="B35" s="41"/>
      <c r="C35" s="41"/>
      <c r="D35" s="41"/>
      <c r="E35" s="41"/>
      <c r="F35" s="4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41"/>
      <c r="B36" s="41"/>
      <c r="C36" s="41"/>
      <c r="D36" s="41"/>
      <c r="E36" s="41"/>
      <c r="F36" s="4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41"/>
      <c r="B37" s="41"/>
      <c r="C37" s="41"/>
      <c r="D37" s="41"/>
      <c r="E37" s="41"/>
      <c r="F37" s="4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41"/>
      <c r="B38" s="41"/>
      <c r="C38" s="41"/>
      <c r="D38" s="41"/>
      <c r="E38" s="41"/>
      <c r="F38" s="4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41"/>
      <c r="B39" s="41"/>
      <c r="C39" s="41"/>
      <c r="D39" s="41"/>
      <c r="E39" s="41"/>
      <c r="F39" s="4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41"/>
      <c r="B40" s="41"/>
      <c r="C40" s="41"/>
      <c r="D40" s="41"/>
      <c r="E40" s="41"/>
      <c r="F40" s="4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41"/>
      <c r="B41" s="41"/>
      <c r="C41" s="41"/>
      <c r="D41" s="41"/>
      <c r="E41" s="41"/>
      <c r="F41" s="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41"/>
      <c r="B42" s="41"/>
      <c r="C42" s="41"/>
      <c r="D42" s="41"/>
      <c r="E42" s="41"/>
      <c r="F42" s="4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41"/>
      <c r="B43" s="41"/>
      <c r="C43" s="41"/>
      <c r="D43" s="41"/>
      <c r="E43" s="41"/>
      <c r="F43" s="4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41"/>
      <c r="B44" s="41"/>
      <c r="C44" s="41"/>
      <c r="D44" s="41"/>
      <c r="E44" s="41"/>
      <c r="F44" s="4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41"/>
      <c r="B45" s="41"/>
      <c r="C45" s="41"/>
      <c r="D45" s="41"/>
      <c r="E45" s="41"/>
      <c r="F45" s="4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41"/>
      <c r="B46" s="41"/>
      <c r="C46" s="41"/>
      <c r="D46" s="41"/>
      <c r="E46" s="41"/>
      <c r="F46" s="4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41"/>
      <c r="B47" s="41"/>
      <c r="C47" s="41"/>
      <c r="D47" s="41"/>
      <c r="E47" s="41"/>
      <c r="F47" s="4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41"/>
      <c r="B48" s="41"/>
      <c r="C48" s="41"/>
      <c r="D48" s="41"/>
      <c r="E48" s="41"/>
      <c r="F48" s="4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41"/>
      <c r="B49" s="41"/>
      <c r="C49" s="41"/>
      <c r="D49" s="41"/>
      <c r="E49" s="41"/>
      <c r="F49" s="4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41"/>
      <c r="B50" s="41"/>
      <c r="C50" s="41"/>
      <c r="D50" s="41"/>
      <c r="E50" s="41"/>
      <c r="F50" s="4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41"/>
      <c r="B51" s="41"/>
      <c r="C51" s="41"/>
      <c r="D51" s="41"/>
      <c r="E51" s="41"/>
      <c r="F51" s="4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41"/>
      <c r="B52" s="41"/>
      <c r="C52" s="41"/>
      <c r="D52" s="41"/>
      <c r="E52" s="41"/>
      <c r="F52" s="4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41"/>
      <c r="B53" s="41"/>
      <c r="C53" s="41"/>
      <c r="D53" s="41"/>
      <c r="E53" s="41"/>
      <c r="F53" s="4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41"/>
      <c r="B54" s="41"/>
      <c r="C54" s="41"/>
      <c r="D54" s="41"/>
      <c r="E54" s="41"/>
      <c r="F54" s="4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41"/>
      <c r="B55" s="41"/>
      <c r="C55" s="41"/>
      <c r="D55" s="41"/>
      <c r="E55" s="41"/>
      <c r="F55" s="4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41"/>
      <c r="B56" s="41"/>
      <c r="C56" s="41"/>
      <c r="D56" s="41"/>
      <c r="E56" s="41"/>
      <c r="F56" s="4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41"/>
      <c r="B57" s="41"/>
      <c r="C57" s="41"/>
      <c r="D57" s="41"/>
      <c r="E57" s="41"/>
      <c r="F57" s="4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41"/>
      <c r="B58" s="41"/>
      <c r="C58" s="41"/>
      <c r="D58" s="41"/>
      <c r="E58" s="41"/>
      <c r="F58" s="4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41"/>
      <c r="B59" s="41"/>
      <c r="C59" s="41"/>
      <c r="D59" s="41"/>
      <c r="E59" s="41"/>
      <c r="F59" s="4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41"/>
      <c r="B60" s="41"/>
      <c r="C60" s="41"/>
      <c r="D60" s="41"/>
      <c r="E60" s="41"/>
      <c r="F60" s="4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41"/>
      <c r="B61" s="41"/>
      <c r="C61" s="41"/>
      <c r="D61" s="41"/>
      <c r="E61" s="41"/>
      <c r="F61" s="4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41"/>
      <c r="B62" s="41"/>
      <c r="C62" s="41"/>
      <c r="D62" s="41"/>
      <c r="E62" s="41"/>
      <c r="F62" s="4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41"/>
      <c r="B63" s="41"/>
      <c r="C63" s="41"/>
      <c r="D63" s="41"/>
      <c r="E63" s="41"/>
      <c r="F63" s="4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41"/>
      <c r="B64" s="41"/>
      <c r="C64" s="41"/>
      <c r="D64" s="41"/>
      <c r="E64" s="41"/>
      <c r="F64" s="4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41"/>
      <c r="B65" s="41"/>
      <c r="C65" s="41"/>
      <c r="D65" s="41"/>
      <c r="E65" s="41"/>
      <c r="F65" s="4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41"/>
      <c r="B66" s="41"/>
      <c r="C66" s="41"/>
      <c r="D66" s="41"/>
      <c r="E66" s="41"/>
      <c r="F66" s="4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41"/>
      <c r="B67" s="41"/>
      <c r="C67" s="41"/>
      <c r="D67" s="41"/>
      <c r="E67" s="41"/>
      <c r="F67" s="4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41"/>
      <c r="B68" s="41"/>
      <c r="C68" s="41"/>
      <c r="D68" s="41"/>
      <c r="E68" s="41"/>
      <c r="F68" s="4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41"/>
      <c r="B69" s="41"/>
      <c r="C69" s="41"/>
      <c r="D69" s="41"/>
      <c r="E69" s="41"/>
      <c r="F69" s="4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41"/>
      <c r="B70" s="41"/>
      <c r="C70" s="41"/>
      <c r="D70" s="41"/>
      <c r="E70" s="41"/>
      <c r="F70" s="4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41"/>
      <c r="B71" s="41"/>
      <c r="C71" s="41"/>
      <c r="D71" s="41"/>
      <c r="E71" s="41"/>
      <c r="F71" s="4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41"/>
      <c r="B72" s="41"/>
      <c r="C72" s="41"/>
      <c r="D72" s="41"/>
      <c r="E72" s="41"/>
      <c r="F72" s="4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41"/>
      <c r="B73" s="41"/>
      <c r="C73" s="41"/>
      <c r="D73" s="41"/>
      <c r="E73" s="41"/>
      <c r="F73" s="4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41"/>
      <c r="B74" s="41"/>
      <c r="C74" s="41"/>
      <c r="D74" s="41"/>
      <c r="E74" s="41"/>
      <c r="F74" s="4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41"/>
      <c r="B75" s="41"/>
      <c r="C75" s="41"/>
      <c r="D75" s="41"/>
      <c r="E75" s="41"/>
      <c r="F75" s="4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41"/>
      <c r="B76" s="41"/>
      <c r="C76" s="41"/>
      <c r="D76" s="41"/>
      <c r="E76" s="41"/>
      <c r="F76" s="4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41"/>
      <c r="B77" s="41"/>
      <c r="C77" s="41"/>
      <c r="D77" s="41"/>
      <c r="E77" s="41"/>
      <c r="F77" s="4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41"/>
      <c r="B78" s="41"/>
      <c r="C78" s="41"/>
      <c r="D78" s="41"/>
      <c r="E78" s="41"/>
      <c r="F78" s="4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41"/>
      <c r="B79" s="41"/>
      <c r="C79" s="41"/>
      <c r="D79" s="41"/>
      <c r="E79" s="41"/>
      <c r="F79" s="4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41"/>
      <c r="B80" s="41"/>
      <c r="C80" s="41"/>
      <c r="D80" s="41"/>
      <c r="E80" s="41"/>
      <c r="F80" s="4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41"/>
      <c r="B81" s="41"/>
      <c r="C81" s="41"/>
      <c r="D81" s="41"/>
      <c r="E81" s="41"/>
      <c r="F81" s="4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41"/>
      <c r="B82" s="41"/>
      <c r="C82" s="41"/>
      <c r="D82" s="41"/>
      <c r="E82" s="41"/>
      <c r="F82" s="4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41"/>
      <c r="B83" s="41"/>
      <c r="C83" s="41"/>
      <c r="D83" s="41"/>
      <c r="E83" s="41"/>
      <c r="F83" s="4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41"/>
      <c r="B84" s="41"/>
      <c r="C84" s="41"/>
      <c r="D84" s="41"/>
      <c r="E84" s="41"/>
      <c r="F84" s="4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41"/>
      <c r="B85" s="41"/>
      <c r="C85" s="41"/>
      <c r="D85" s="41"/>
      <c r="E85" s="41"/>
      <c r="F85" s="4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41"/>
      <c r="B86" s="41"/>
      <c r="C86" s="41"/>
      <c r="D86" s="41"/>
      <c r="E86" s="41"/>
      <c r="F86" s="4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41"/>
      <c r="B87" s="41"/>
      <c r="C87" s="41"/>
      <c r="D87" s="41"/>
      <c r="E87" s="41"/>
      <c r="F87" s="4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41"/>
      <c r="B88" s="41"/>
      <c r="C88" s="41"/>
      <c r="D88" s="41"/>
      <c r="E88" s="41"/>
      <c r="F88" s="4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41"/>
      <c r="B89" s="41"/>
      <c r="C89" s="41"/>
      <c r="D89" s="41"/>
      <c r="E89" s="41"/>
      <c r="F89" s="4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41"/>
      <c r="B90" s="41"/>
      <c r="C90" s="41"/>
      <c r="D90" s="41"/>
      <c r="E90" s="41"/>
      <c r="F90" s="4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41"/>
      <c r="B91" s="41"/>
      <c r="C91" s="41"/>
      <c r="D91" s="41"/>
      <c r="E91" s="41"/>
      <c r="F91" s="4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41"/>
      <c r="B92" s="41"/>
      <c r="C92" s="41"/>
      <c r="D92" s="41"/>
      <c r="E92" s="41"/>
      <c r="F92" s="4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41"/>
      <c r="B93" s="41"/>
      <c r="C93" s="41"/>
      <c r="D93" s="41"/>
      <c r="E93" s="41"/>
      <c r="F93" s="4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41"/>
      <c r="B94" s="41"/>
      <c r="C94" s="41"/>
      <c r="D94" s="41"/>
      <c r="E94" s="41"/>
      <c r="F94" s="4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41"/>
      <c r="B95" s="41"/>
      <c r="C95" s="41"/>
      <c r="D95" s="41"/>
      <c r="E95" s="41"/>
      <c r="F95" s="4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41"/>
      <c r="B96" s="41"/>
      <c r="C96" s="41"/>
      <c r="D96" s="41"/>
      <c r="E96" s="41"/>
      <c r="F96" s="4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41"/>
      <c r="B97" s="41"/>
      <c r="C97" s="41"/>
      <c r="D97" s="41"/>
      <c r="E97" s="41"/>
      <c r="F97" s="4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41"/>
      <c r="B98" s="41"/>
      <c r="C98" s="41"/>
      <c r="D98" s="41"/>
      <c r="E98" s="41"/>
      <c r="F98" s="4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41"/>
      <c r="B99" s="41"/>
      <c r="C99" s="41"/>
      <c r="D99" s="41"/>
      <c r="E99" s="41"/>
      <c r="F99" s="4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41"/>
      <c r="B100" s="41"/>
      <c r="C100" s="41"/>
      <c r="D100" s="41"/>
      <c r="E100" s="41"/>
      <c r="F100" s="4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topLeftCell="A5" workbookViewId="0">
      <selection sqref="A1:E1"/>
    </sheetView>
  </sheetViews>
  <sheetFormatPr baseColWidth="10" defaultColWidth="8.796875" defaultRowHeight="13.8"/>
  <cols>
    <col min="1" max="1" width="13.8984375" customWidth="1"/>
    <col min="2" max="2" width="18.59765625" customWidth="1"/>
    <col min="3" max="3" width="25.59765625" customWidth="1"/>
    <col min="4" max="4" width="36.19921875" customWidth="1"/>
    <col min="5" max="5" width="32.3984375" customWidth="1"/>
  </cols>
  <sheetData>
    <row r="1" spans="1:26" ht="22.35" customHeight="1">
      <c r="A1" s="24" t="s">
        <v>262</v>
      </c>
      <c r="B1" s="25"/>
      <c r="C1" s="25"/>
      <c r="D1" s="25"/>
      <c r="E1" s="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3" t="s">
        <v>263</v>
      </c>
      <c r="B3" s="3" t="s">
        <v>237</v>
      </c>
      <c r="C3" s="3" t="s">
        <v>264</v>
      </c>
      <c r="D3" s="3" t="s">
        <v>265</v>
      </c>
      <c r="E3" s="3" t="s">
        <v>266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39" t="s">
        <v>267</v>
      </c>
      <c r="B4" s="39" t="s">
        <v>268</v>
      </c>
      <c r="C4" s="39" t="s">
        <v>269</v>
      </c>
      <c r="D4" s="39" t="s">
        <v>270</v>
      </c>
      <c r="E4" s="39" t="s">
        <v>271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9" t="s">
        <v>272</v>
      </c>
      <c r="B5" s="39" t="s">
        <v>273</v>
      </c>
      <c r="C5" s="39" t="s">
        <v>274</v>
      </c>
      <c r="D5" s="39" t="s">
        <v>275</v>
      </c>
      <c r="E5" s="39" t="s">
        <v>276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9" t="s">
        <v>277</v>
      </c>
      <c r="B6" s="39" t="s">
        <v>278</v>
      </c>
      <c r="C6" s="39" t="s">
        <v>279</v>
      </c>
      <c r="D6" s="39" t="s">
        <v>280</v>
      </c>
      <c r="E6" s="39" t="s">
        <v>281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39" t="s">
        <v>282</v>
      </c>
      <c r="B7" s="39" t="s">
        <v>283</v>
      </c>
      <c r="C7" s="39" t="s">
        <v>284</v>
      </c>
      <c r="D7" s="39" t="s">
        <v>285</v>
      </c>
      <c r="E7" s="39" t="s">
        <v>286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4">
      <c r="A8" s="39" t="s">
        <v>238</v>
      </c>
      <c r="B8" s="39" t="s">
        <v>287</v>
      </c>
      <c r="C8" s="39" t="s">
        <v>288</v>
      </c>
      <c r="D8" s="39" t="s">
        <v>243</v>
      </c>
      <c r="E8" s="39" t="s">
        <v>289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4">
      <c r="A9" s="39" t="s">
        <v>244</v>
      </c>
      <c r="B9" s="39" t="s">
        <v>290</v>
      </c>
      <c r="C9" s="39" t="s">
        <v>291</v>
      </c>
      <c r="D9" s="39" t="s">
        <v>249</v>
      </c>
      <c r="E9" s="39" t="s">
        <v>292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1.4">
      <c r="A10" s="39" t="s">
        <v>250</v>
      </c>
      <c r="B10" s="39" t="s">
        <v>290</v>
      </c>
      <c r="C10" s="39" t="s">
        <v>293</v>
      </c>
      <c r="D10" s="39" t="s">
        <v>255</v>
      </c>
      <c r="E10" s="39" t="s">
        <v>294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39" t="s">
        <v>295</v>
      </c>
      <c r="B11" s="39" t="s">
        <v>296</v>
      </c>
      <c r="C11" s="39" t="s">
        <v>297</v>
      </c>
      <c r="D11" s="39" t="s">
        <v>298</v>
      </c>
      <c r="E11" s="39" t="s">
        <v>299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Supuestos</vt:lpstr>
      <vt:lpstr>Gantt</vt:lpstr>
      <vt:lpstr>Costos</vt:lpstr>
      <vt:lpstr>Modelo_Negocio</vt:lpstr>
      <vt:lpstr>Evaluacion_Proyecto</vt:lpstr>
      <vt:lpstr>Referentes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Iturrieta</cp:lastModifiedBy>
  <dcterms:modified xsi:type="dcterms:W3CDTF">2026-05-19T12:45:29Z</dcterms:modified>
</cp:coreProperties>
</file>