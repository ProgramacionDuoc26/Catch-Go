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64" windowHeight="0" tabRatio="600" firstSheet="0" activeTab="0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Print_Area" localSheetId="1">'Casos de Prueba'!$C$1:$N$534</definedName>
    <definedName name="_xlnm._FilterDatabase" localSheetId="1" hidden="1">'Casos de Prueba'!$A$12:$N$13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31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Tahoma"/>
      <b val="1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Arial"/>
      <family val="2"/>
      <sz val="10"/>
    </font>
    <font>
      <name val="Tahoma"/>
      <family val="2"/>
      <sz val="10"/>
    </font>
    <font>
      <name val="Arial"/>
      <family val="2"/>
      <color rgb="FF000000"/>
      <sz val="10"/>
    </font>
    <font>
      <name val="Tahoma"/>
      <family val="2"/>
      <sz val="9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2">
    <xf numFmtId="0" fontId="0" fillId="0" borderId="0"/>
    <xf numFmtId="0" fontId="1" fillId="0" borderId="0"/>
  </cellStyleXfs>
  <cellXfs count="160">
    <xf numFmtId="0" fontId="0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" fillId="2" borderId="7" pivotButton="0" quotePrefix="0" xfId="0"/>
    <xf numFmtId="0" fontId="1" fillId="2" borderId="6" pivotButton="0" quotePrefix="0" xfId="0"/>
    <xf numFmtId="0" fontId="13" fillId="2" borderId="6" pivotButton="0" quotePrefix="0" xfId="0"/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left" vertical="center" wrapText="1"/>
    </xf>
    <xf numFmtId="0" fontId="14" fillId="2" borderId="10" applyAlignment="1" pivotButton="0" quotePrefix="0" xfId="0">
      <alignment horizontal="left" vertical="center" wrapText="1"/>
    </xf>
    <xf numFmtId="0" fontId="14" fillId="2" borderId="1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left" vertical="center" wrapText="1"/>
    </xf>
    <xf numFmtId="0" fontId="15" fillId="2" borderId="12" applyAlignment="1" pivotButton="0" quotePrefix="0" xfId="0">
      <alignment horizontal="center" vertical="center" wrapText="1"/>
    </xf>
    <xf numFmtId="0" fontId="14" fillId="2" borderId="12" applyAlignment="1" pivotButton="0" quotePrefix="0" xfId="0">
      <alignment horizontal="left" vertical="center" wrapText="1"/>
    </xf>
    <xf numFmtId="0" fontId="14" fillId="2" borderId="13" applyAlignment="1" pivotButton="0" quotePrefix="0" xfId="0">
      <alignment horizontal="left" vertical="center" wrapText="1"/>
    </xf>
    <xf numFmtId="0" fontId="1" fillId="0" borderId="0" pivotButton="0" quotePrefix="0" xfId="1"/>
    <xf numFmtId="0" fontId="16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7" fillId="4" borderId="0" pivotButton="0" quotePrefix="0" xfId="1"/>
    <xf numFmtId="0" fontId="1" fillId="4" borderId="22" pivotButton="0" quotePrefix="0" xfId="1"/>
    <xf numFmtId="0" fontId="1" fillId="4" borderId="25" pivotButton="0" quotePrefix="0" xfId="1"/>
    <xf numFmtId="0" fontId="1" fillId="4" borderId="28" pivotButton="0" quotePrefix="0" xfId="1"/>
    <xf numFmtId="0" fontId="1" fillId="4" borderId="29" pivotButton="0" quotePrefix="0" xfId="1"/>
    <xf numFmtId="0" fontId="1" fillId="4" borderId="32" pivotButton="0" quotePrefix="0" xfId="1"/>
    <xf numFmtId="0" fontId="1" fillId="4" borderId="22" applyAlignment="1" pivotButton="0" quotePrefix="0" xfId="1">
      <alignment horizontal="center"/>
    </xf>
    <xf numFmtId="0" fontId="1" fillId="4" borderId="28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9" applyAlignment="1" pivotButton="0" quotePrefix="0" xfId="1">
      <alignment horizontal="center"/>
    </xf>
    <xf numFmtId="0" fontId="1" fillId="4" borderId="32" applyAlignment="1" pivotButton="0" quotePrefix="0" xfId="1">
      <alignment horizontal="center"/>
    </xf>
    <xf numFmtId="0" fontId="19" fillId="4" borderId="0" applyAlignment="1" pivotButton="0" quotePrefix="0" xfId="1">
      <alignment horizont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left" vertical="center"/>
    </xf>
    <xf numFmtId="0" fontId="20" fillId="4" borderId="0" applyAlignment="1" pivotButton="0" quotePrefix="0" xfId="1">
      <alignment horizontal="center"/>
    </xf>
    <xf numFmtId="0" fontId="20" fillId="4" borderId="0" applyAlignment="1" pivotButton="0" quotePrefix="0" xfId="1">
      <alignment horizontal="left"/>
    </xf>
    <xf numFmtId="0" fontId="21" fillId="4" borderId="0" applyAlignment="1" pivotButton="0" quotePrefix="0" xfId="1">
      <alignment horizontal="left"/>
    </xf>
    <xf numFmtId="0" fontId="21" fillId="4" borderId="0" pivotButton="0" quotePrefix="0" xfId="1"/>
    <xf numFmtId="0" fontId="16" fillId="4" borderId="0" applyAlignment="1" pivotButton="0" quotePrefix="0" xfId="1">
      <alignment horizontal="center" vertical="center"/>
    </xf>
    <xf numFmtId="0" fontId="23" fillId="4" borderId="0" pivotButton="0" quotePrefix="0" xfId="1"/>
    <xf numFmtId="0" fontId="24" fillId="4" borderId="0" applyAlignment="1" pivotButton="0" quotePrefix="0" xfId="1">
      <alignment horizontal="center"/>
    </xf>
    <xf numFmtId="0" fontId="25" fillId="4" borderId="0" applyAlignment="1" pivotButton="0" quotePrefix="0" xfId="1">
      <alignment horizontal="center"/>
    </xf>
    <xf numFmtId="0" fontId="26" fillId="4" borderId="32" applyAlignment="1" applyProtection="1" pivotButton="0" quotePrefix="0" xfId="0">
      <alignment horizontal="left" vertical="center" wrapText="1"/>
      <protection locked="0" hidden="0"/>
    </xf>
    <xf numFmtId="0" fontId="0" fillId="4" borderId="28" applyAlignment="1" applyProtection="1" pivotButton="0" quotePrefix="0" xfId="0">
      <alignment horizontal="left" vertical="center" wrapText="1"/>
      <protection locked="0" hidden="0"/>
    </xf>
    <xf numFmtId="0" fontId="28" fillId="4" borderId="28" applyAlignment="1" applyProtection="1" pivotButton="0" quotePrefix="0" xfId="0">
      <alignment horizontal="left" vertical="center" wrapText="1"/>
      <protection locked="0" hidden="0"/>
    </xf>
    <xf numFmtId="0" fontId="0" fillId="4" borderId="47" applyAlignment="1" applyProtection="1" pivotButton="0" quotePrefix="0" xfId="0">
      <alignment horizontal="center" vertical="center" wrapText="1"/>
      <protection locked="0" hidden="0"/>
    </xf>
    <xf numFmtId="0" fontId="0" fillId="4" borderId="0" applyAlignment="1" applyProtection="1" pivotButton="0" quotePrefix="0" xfId="0">
      <alignment horizontal="center" vertical="center" wrapText="1"/>
      <protection locked="0" hidden="0"/>
    </xf>
    <xf numFmtId="0" fontId="0" fillId="4" borderId="48" applyAlignment="1" applyProtection="1" pivotButton="0" quotePrefix="0" xfId="0">
      <alignment horizontal="center" vertical="center" wrapText="1"/>
      <protection locked="0" hidden="0"/>
    </xf>
    <xf numFmtId="0" fontId="26" fillId="2" borderId="0" pivotButton="0" quotePrefix="0" xfId="0"/>
    <xf numFmtId="0" fontId="27" fillId="2" borderId="49" applyAlignment="1" pivotButton="0" quotePrefix="0" xfId="0">
      <alignment horizontal="left" vertical="center" wrapText="1"/>
    </xf>
    <xf numFmtId="0" fontId="28" fillId="4" borderId="17" applyAlignment="1" applyProtection="1" pivotButton="0" quotePrefix="0" xfId="0">
      <alignment horizontal="center" vertical="center" wrapText="1"/>
      <protection locked="0" hidden="0"/>
    </xf>
    <xf numFmtId="0" fontId="28" fillId="4" borderId="31" applyAlignment="1" applyProtection="1" pivotButton="0" quotePrefix="0" xfId="0">
      <alignment horizontal="left" vertical="center" wrapText="1"/>
      <protection locked="0" hidden="0"/>
    </xf>
    <xf numFmtId="0" fontId="0" fillId="4" borderId="27" applyAlignment="1" applyProtection="1" pivotButton="0" quotePrefix="0" xfId="0">
      <alignment horizontal="left" vertical="center" wrapText="1"/>
      <protection locked="0" hidden="0"/>
    </xf>
    <xf numFmtId="0" fontId="0" fillId="4" borderId="24" applyAlignment="1" applyProtection="1" pivotButton="0" quotePrefix="0" xfId="0">
      <alignment horizontal="left" vertical="center" wrapText="1"/>
      <protection locked="0" hidden="0"/>
    </xf>
    <xf numFmtId="0" fontId="26" fillId="4" borderId="30" applyAlignment="1" applyProtection="1" pivotButton="0" quotePrefix="0" xfId="0">
      <alignment horizontal="justify" vertical="center" wrapText="1"/>
      <protection locked="0" hidden="0"/>
    </xf>
    <xf numFmtId="0" fontId="14" fillId="2" borderId="52" applyAlignment="1" pivotButton="0" quotePrefix="0" xfId="0">
      <alignment horizontal="left" vertical="center" wrapText="1"/>
    </xf>
    <xf numFmtId="0" fontId="27" fillId="2" borderId="52" applyAlignment="1" pivotButton="0" quotePrefix="0" xfId="0">
      <alignment horizontal="left" vertical="center" wrapText="1"/>
    </xf>
    <xf numFmtId="0" fontId="29" fillId="2" borderId="53" applyAlignment="1" pivotButton="0" quotePrefix="0" xfId="0">
      <alignment vertical="center" wrapText="1"/>
    </xf>
    <xf numFmtId="0" fontId="29" fillId="2" borderId="52" applyAlignment="1" pivotButton="0" quotePrefix="0" xfId="0">
      <alignment vertical="center" wrapText="1"/>
    </xf>
    <xf numFmtId="0" fontId="14" fillId="2" borderId="52" applyAlignment="1" pivotButton="0" quotePrefix="0" xfId="0">
      <alignment vertical="center"/>
    </xf>
    <xf numFmtId="0" fontId="14" fillId="2" borderId="54" applyAlignment="1" pivotButton="0" quotePrefix="0" xfId="0">
      <alignment horizontal="left" vertical="center" wrapText="1"/>
    </xf>
    <xf numFmtId="0" fontId="26" fillId="4" borderId="20" applyAlignment="1" applyProtection="1" pivotButton="0" quotePrefix="0" xfId="0">
      <alignment horizontal="justify" vertical="center" wrapText="1"/>
      <protection locked="0" hidden="0"/>
    </xf>
    <xf numFmtId="0" fontId="26" fillId="4" borderId="55" applyAlignment="1" applyProtection="1" pivotButton="0" quotePrefix="0" xfId="0">
      <alignment horizontal="justify" vertical="center" wrapText="1"/>
      <protection locked="0" hidden="0"/>
    </xf>
    <xf numFmtId="0" fontId="14" fillId="2" borderId="42" applyAlignment="1" pivotButton="0" quotePrefix="0" xfId="0">
      <alignment horizontal="left" vertical="center" wrapText="1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7" fillId="4" borderId="0" applyAlignment="1" pivotButton="0" quotePrefix="0" xfId="1">
      <alignment horizontal="left"/>
    </xf>
    <xf numFmtId="0" fontId="17" fillId="4" borderId="56" applyAlignment="1" pivotButton="0" quotePrefix="0" xfId="1">
      <alignment horizontal="left"/>
    </xf>
    <xf numFmtId="0" fontId="17" fillId="4" borderId="57" applyAlignment="1" pivotButton="0" quotePrefix="0" xfId="1">
      <alignment horizontal="left"/>
    </xf>
    <xf numFmtId="0" fontId="18" fillId="5" borderId="36" applyAlignment="1" pivotButton="0" quotePrefix="0" xfId="1">
      <alignment horizontal="left" vertical="top"/>
    </xf>
    <xf numFmtId="0" fontId="19" fillId="5" borderId="33" applyAlignment="1" pivotButton="0" quotePrefix="0" xfId="1">
      <alignment horizontal="left" vertical="center"/>
    </xf>
    <xf numFmtId="0" fontId="1" fillId="5" borderId="33" applyAlignment="1" pivotButton="0" quotePrefix="0" xfId="1">
      <alignment horizontal="center"/>
    </xf>
    <xf numFmtId="0" fontId="1" fillId="5" borderId="33" pivotButton="0" quotePrefix="0" xfId="1"/>
    <xf numFmtId="0" fontId="9" fillId="2" borderId="0" applyAlignment="1" pivotButton="0" quotePrefix="0" xfId="0">
      <alignment horizontal="left" vertical="center" wrapText="1"/>
    </xf>
    <xf numFmtId="0" fontId="22" fillId="4" borderId="39" applyAlignment="1" pivotButton="0" quotePrefix="0" xfId="1">
      <alignment horizontal="left"/>
    </xf>
    <xf numFmtId="0" fontId="22" fillId="4" borderId="38" applyAlignment="1" pivotButton="0" quotePrefix="0" xfId="1">
      <alignment horizontal="left"/>
    </xf>
    <xf numFmtId="0" fontId="22" fillId="4" borderId="37" applyAlignment="1" pivotButton="0" quotePrefix="0" xfId="1">
      <alignment horizontal="left"/>
    </xf>
    <xf numFmtId="0" fontId="22" fillId="4" borderId="36" applyAlignment="1" pivotButton="0" quotePrefix="0" xfId="1">
      <alignment horizontal="left"/>
    </xf>
    <xf numFmtId="0" fontId="22" fillId="4" borderId="41" applyAlignment="1" pivotButton="0" quotePrefix="0" xfId="1">
      <alignment horizontal="left"/>
    </xf>
    <xf numFmtId="0" fontId="22" fillId="4" borderId="40" applyAlignment="1" pivotButton="0" quotePrefix="0" xfId="1">
      <alignment horizontal="left"/>
    </xf>
    <xf numFmtId="0" fontId="17" fillId="4" borderId="31" applyAlignment="1" pivotButton="0" quotePrefix="0" xfId="1">
      <alignment horizontal="left"/>
    </xf>
    <xf numFmtId="0" fontId="17" fillId="4" borderId="30" applyAlignment="1" pivotButton="0" quotePrefix="0" xfId="1">
      <alignment horizontal="left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8" fillId="5" borderId="35" applyAlignment="1" pivotButton="0" quotePrefix="0" xfId="1">
      <alignment horizontal="left" vertical="top"/>
    </xf>
    <xf numFmtId="0" fontId="18" fillId="5" borderId="34" applyAlignment="1" pivotButton="0" quotePrefix="0" xfId="1">
      <alignment horizontal="left" vertical="top"/>
    </xf>
    <xf numFmtId="0" fontId="17" fillId="4" borderId="24" applyAlignment="1" pivotButton="0" quotePrefix="0" xfId="1">
      <alignment horizontal="left"/>
    </xf>
    <xf numFmtId="0" fontId="17" fillId="4" borderId="23" applyAlignment="1" pivotButton="0" quotePrefix="0" xfId="1">
      <alignment horizontal="left"/>
    </xf>
    <xf numFmtId="0" fontId="16" fillId="4" borderId="0" applyAlignment="1" pivotButton="0" quotePrefix="0" xfId="1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14" fillId="2" borderId="17" applyAlignment="1" pivotButton="0" quotePrefix="0" xfId="0">
      <alignment horizontal="center" vertical="center"/>
    </xf>
    <xf numFmtId="0" fontId="0" fillId="4" borderId="50" applyAlignment="1" applyProtection="1" pivotButton="0" quotePrefix="0" xfId="0">
      <alignment horizontal="center" vertical="center" wrapText="1"/>
      <protection locked="0" hidden="0"/>
    </xf>
    <xf numFmtId="0" fontId="0" fillId="4" borderId="51" applyAlignment="1" applyProtection="1" pivotButton="0" quotePrefix="0" xfId="0">
      <alignment horizontal="center" vertical="center" wrapText="1"/>
      <protection locked="0" hidden="0"/>
    </xf>
    <xf numFmtId="0" fontId="0" fillId="4" borderId="37" applyAlignment="1" applyProtection="1" pivotButton="0" quotePrefix="0" xfId="0">
      <alignment horizontal="center" vertical="center" wrapText="1"/>
      <protection locked="0" hidden="0"/>
    </xf>
    <xf numFmtId="0" fontId="26" fillId="4" borderId="17" applyAlignment="1" applyProtection="1" pivotButton="0" quotePrefix="0" xfId="0">
      <alignment horizontal="center" vertical="center" wrapText="1"/>
      <protection locked="0" hidden="0"/>
    </xf>
    <xf numFmtId="0" fontId="14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0" fontId="10" fillId="2" borderId="2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3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14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11" fillId="2" borderId="2" applyAlignment="1" pivotButton="0" quotePrefix="0" xfId="0">
      <alignment horizontal="left" vertical="center" wrapText="1"/>
    </xf>
    <xf numFmtId="0" fontId="1" fillId="3" borderId="2" pivotButton="0" quotePrefix="0" xfId="0"/>
    <xf numFmtId="49" fontId="11" fillId="2" borderId="18" applyAlignment="1" pivotButton="0" quotePrefix="0" xfId="0">
      <alignment horizontal="left" vertical="center" wrapText="1"/>
    </xf>
    <xf numFmtId="0" fontId="12" fillId="2" borderId="15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center" vertical="center" wrapText="1"/>
    </xf>
    <xf numFmtId="0" fontId="12" fillId="2" borderId="16" applyAlignment="1" pivotButton="0" quotePrefix="0" xfId="0">
      <alignment horizontal="center" vertical="center" wrapText="1"/>
    </xf>
    <xf numFmtId="0" fontId="10" fillId="2" borderId="17" applyAlignment="1" pivotButton="0" quotePrefix="0" xfId="0">
      <alignment horizontal="left" vertical="center" wrapText="1"/>
    </xf>
    <xf numFmtId="0" fontId="10" fillId="2" borderId="17" applyAlignment="1" pivotButton="0" quotePrefix="0" xfId="0">
      <alignment horizontal="center" vertical="center" wrapText="1"/>
    </xf>
    <xf numFmtId="14" fontId="10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left" vertical="center" wrapText="1"/>
    </xf>
    <xf numFmtId="0" fontId="10" fillId="2" borderId="20" applyAlignment="1" pivotButton="0" quotePrefix="0" xfId="0">
      <alignment horizontal="left" vertical="center" wrapText="1"/>
    </xf>
    <xf numFmtId="0" fontId="10" fillId="2" borderId="21" applyAlignment="1" pivotButton="0" quotePrefix="0" xfId="0">
      <alignment horizontal="left" vertical="center" wrapText="1"/>
    </xf>
    <xf numFmtId="0" fontId="22" fillId="4" borderId="50" applyAlignment="1" pivotButton="0" quotePrefix="0" xfId="1">
      <alignment horizontal="left"/>
    </xf>
    <xf numFmtId="0" fontId="0" fillId="0" borderId="41" pivotButton="0" quotePrefix="0" xfId="0"/>
    <xf numFmtId="0" fontId="0" fillId="0" borderId="40" pivotButton="0" quotePrefix="0" xfId="0"/>
    <xf numFmtId="0" fontId="22" fillId="4" borderId="60" applyAlignment="1" pivotButton="0" quotePrefix="0" xfId="1">
      <alignment horizontal="left"/>
    </xf>
    <xf numFmtId="0" fontId="0" fillId="0" borderId="38" pivotButton="0" quotePrefix="0" xfId="0"/>
    <xf numFmtId="0" fontId="0" fillId="0" borderId="37" pivotButton="0" quotePrefix="0" xfId="0"/>
    <xf numFmtId="0" fontId="18" fillId="5" borderId="33" applyAlignment="1" pivotButton="0" quotePrefix="0" xfId="1">
      <alignment horizontal="left" vertical="top"/>
    </xf>
    <xf numFmtId="0" fontId="0" fillId="0" borderId="34" pivotButton="0" quotePrefix="0" xfId="0"/>
    <xf numFmtId="0" fontId="17" fillId="4" borderId="32" applyAlignment="1" pivotButton="0" quotePrefix="0" xfId="1">
      <alignment horizontal="left"/>
    </xf>
    <xf numFmtId="0" fontId="0" fillId="0" borderId="30" pivotButton="0" quotePrefix="0" xfId="0"/>
    <xf numFmtId="0" fontId="17" fillId="4" borderId="28" applyAlignment="1" pivotButton="0" quotePrefix="0" xfId="1">
      <alignment horizontal="left"/>
    </xf>
    <xf numFmtId="0" fontId="0" fillId="0" borderId="26" pivotButton="0" quotePrefix="0" xfId="0"/>
    <xf numFmtId="0" fontId="17" fillId="4" borderId="22" applyAlignment="1" pivotButton="0" quotePrefix="0" xfId="1">
      <alignment horizontal="left"/>
    </xf>
    <xf numFmtId="0" fontId="0" fillId="0" borderId="23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" pivotButton="0" quotePrefix="0" xfId="0"/>
    <xf numFmtId="0" fontId="12" fillId="2" borderId="6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6" pivotButton="0" quotePrefix="0" xfId="0"/>
    <xf numFmtId="0" fontId="30" fillId="2" borderId="73" applyAlignment="1" pivotButton="0" quotePrefix="0" xfId="0">
      <alignment horizontal="center" vertical="center" wrapText="1"/>
    </xf>
    <xf numFmtId="0" fontId="30" fillId="2" borderId="73" applyAlignment="1" pivotButton="0" quotePrefix="0" xfId="0">
      <alignment horizontal="left" vertical="center" wrapText="1"/>
    </xf>
    <xf numFmtId="0" fontId="30" fillId="4" borderId="73" applyAlignment="1" applyProtection="1" pivotButton="0" quotePrefix="0" xfId="0">
      <alignment horizontal="left" vertical="center" wrapText="1"/>
      <protection locked="0" hidden="0"/>
    </xf>
    <xf numFmtId="0" fontId="0" fillId="0" borderId="75" pivotButton="0" quotePrefix="0" xfId="0"/>
    <xf numFmtId="0" fontId="0" fillId="0" borderId="75" applyProtection="1" pivotButton="0" quotePrefix="0" xfId="0">
      <protection locked="0" hidden="0"/>
    </xf>
    <xf numFmtId="0" fontId="0" fillId="0" borderId="76" pivotButton="0" quotePrefix="0" xfId="0"/>
    <xf numFmtId="0" fontId="0" fillId="0" borderId="76" applyProtection="1" pivotButton="0" quotePrefix="0" xfId="0">
      <protection locked="0" hidden="0"/>
    </xf>
    <xf numFmtId="0" fontId="30" fillId="0" borderId="73" applyAlignment="1" pivotButton="0" quotePrefix="0" xfId="0">
      <alignment horizontal="center" vertical="center" wrapText="1"/>
    </xf>
    <xf numFmtId="0" fontId="30" fillId="0" borderId="73" applyAlignment="1" pivotButton="0" quotePrefix="0" xfId="0">
      <alignment horizontal="left" vertical="center" wrapText="1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abSelected="1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31" min="1" max="1"/>
    <col width="25.33203125" customWidth="1" style="31" min="2" max="2"/>
    <col width="113.5546875" customWidth="1" style="31" min="3" max="3"/>
    <col width="8.5546875" bestFit="1" customWidth="1" style="31" min="4" max="4"/>
    <col width="26.88671875" customWidth="1" style="31" min="5" max="5"/>
    <col width="38.44140625" customWidth="1" style="31" min="6" max="6"/>
    <col width="5.109375" customWidth="1" style="31" min="7" max="7"/>
    <col width="4" customWidth="1" style="31" min="8" max="8"/>
    <col width="4.5546875" customWidth="1" style="31" min="9" max="9"/>
    <col width="34.6640625" customWidth="1" style="31" min="10" max="10"/>
    <col width="11.44140625" customWidth="1" style="31" min="11" max="16384"/>
  </cols>
  <sheetData>
    <row r="1" ht="30" customHeight="1">
      <c r="B1" s="100" t="inlineStr">
        <is>
          <t>Casos de Pruebas Estándar</t>
        </is>
      </c>
      <c r="D1" s="53" t="n"/>
      <c r="E1" s="53" t="n"/>
      <c r="F1" s="53" t="n"/>
      <c r="G1" s="100" t="n"/>
      <c r="H1" s="100" t="n"/>
      <c r="I1" s="100" t="n"/>
      <c r="J1" s="100" t="n"/>
      <c r="K1" s="52" t="n"/>
      <c r="L1" s="52" t="n"/>
      <c r="M1" s="52" t="n"/>
      <c r="N1" s="52" t="n"/>
      <c r="O1" s="52" t="n"/>
    </row>
    <row r="2" ht="18" customHeight="1" thickBot="1">
      <c r="B2" s="51" t="n"/>
      <c r="C2" s="100" t="n"/>
      <c r="D2" s="100" t="n"/>
      <c r="E2" s="100" t="n"/>
      <c r="F2" s="100" t="n"/>
      <c r="G2" s="100" t="n"/>
      <c r="H2" s="100" t="n"/>
      <c r="I2" s="100" t="n"/>
      <c r="J2" s="100" t="n"/>
    </row>
    <row r="3" ht="18" customHeight="1">
      <c r="B3" s="131" t="inlineStr">
        <is>
          <t>Todos los hitos deben ser marcados en el casillero respectivo con los siguientes estados:</t>
        </is>
      </c>
      <c r="C3" s="132" t="n"/>
      <c r="D3" s="133" t="n"/>
      <c r="E3" s="46" t="n"/>
      <c r="F3" s="46" t="n"/>
      <c r="G3" s="46" t="n"/>
      <c r="H3" s="46" t="n"/>
      <c r="I3" s="46" t="n"/>
      <c r="J3" s="46" t="n"/>
    </row>
    <row r="4" ht="16.8" customHeight="1" thickBot="1">
      <c r="B4" s="134" t="inlineStr">
        <is>
          <t>OK: El hito cumple lo indicado  -  NC: No cumple el ítem en forma óptima  -  NA: No aplica el ítem al componente/aplicación a evaluar</t>
        </is>
      </c>
      <c r="C4" s="135" t="n"/>
      <c r="D4" s="136" t="n"/>
      <c r="E4" s="47" t="n"/>
      <c r="F4" s="46" t="n"/>
      <c r="G4" s="46" t="n"/>
      <c r="H4" s="46" t="n"/>
      <c r="I4" s="46" t="n"/>
      <c r="J4" s="46" t="n"/>
    </row>
    <row r="5" ht="30.75" customHeight="1" thickBot="1">
      <c r="B5" s="49" t="n"/>
      <c r="C5" s="48" t="n"/>
      <c r="D5" s="47" t="n"/>
      <c r="E5" s="47" t="n"/>
      <c r="F5" s="46" t="n"/>
      <c r="G5" s="46" t="n"/>
      <c r="H5" s="46" t="n"/>
      <c r="I5" s="46" t="n"/>
      <c r="J5" s="46" t="n"/>
    </row>
    <row r="6" ht="21" customHeight="1" thickBot="1">
      <c r="A6" s="81" t="inlineStr">
        <is>
          <t>ID</t>
        </is>
      </c>
      <c r="B6" s="137" t="inlineStr">
        <is>
          <t>1.- INTERFAZ GRÁFICA.</t>
        </is>
      </c>
      <c r="C6" s="138" t="n"/>
      <c r="D6" s="82" t="inlineStr">
        <is>
          <t>Estado</t>
        </is>
      </c>
      <c r="E6" s="45" t="n"/>
      <c r="F6" s="44" t="n"/>
      <c r="G6" s="43" t="n"/>
      <c r="H6" s="43" t="n"/>
      <c r="I6" s="43" t="n"/>
      <c r="J6" s="43" t="n"/>
    </row>
    <row r="7" ht="15" customHeight="1">
      <c r="A7" s="37" t="inlineStr">
        <is>
          <t>E-1.1</t>
        </is>
      </c>
      <c r="B7" s="139" t="inlineStr">
        <is>
          <t>Verificar que se encuentre un ícono en todos los mensajes desplegados por la aplicación</t>
        </is>
      </c>
      <c r="C7" s="140" t="n"/>
      <c r="D7" s="42" t="inlineStr">
        <is>
          <t>OK</t>
        </is>
      </c>
      <c r="E7" s="40" t="n"/>
    </row>
    <row r="8" ht="15" customHeight="1">
      <c r="A8" s="35" t="inlineStr">
        <is>
          <t>E-1.2</t>
        </is>
      </c>
      <c r="B8" s="141" t="inlineStr">
        <is>
          <t>Verificar que los botones tengan un ícono o frase adecuado a su función.</t>
        </is>
      </c>
      <c r="C8" s="142" t="n"/>
      <c r="D8" s="39" t="inlineStr">
        <is>
          <t>OK</t>
        </is>
      </c>
      <c r="E8" s="40" t="n"/>
    </row>
    <row r="9" ht="15" customHeight="1">
      <c r="A9" s="35" t="inlineStr">
        <is>
          <t>E-1.3</t>
        </is>
      </c>
      <c r="B9" s="141" t="inlineStr">
        <is>
          <t>Verificar que las aplicaciones con múltiples pantallas exista la opción “Retornar” a la pantalla anterior.</t>
        </is>
      </c>
      <c r="C9" s="142" t="n"/>
      <c r="D9" s="39" t="inlineStr">
        <is>
          <t>OK</t>
        </is>
      </c>
      <c r="E9" s="40" t="n"/>
    </row>
    <row r="10" ht="15" customHeight="1">
      <c r="A10" s="35" t="n"/>
      <c r="B10" s="141" t="n"/>
      <c r="C10" s="142" t="n"/>
      <c r="D10" s="39" t="n"/>
      <c r="E10" s="40" t="n"/>
    </row>
    <row r="11" ht="15" customHeight="1">
      <c r="A11" s="35" t="n"/>
      <c r="B11" s="141" t="n"/>
      <c r="C11" s="142" t="n"/>
      <c r="D11" s="39" t="n"/>
      <c r="E11" s="40" t="n"/>
    </row>
    <row r="12" ht="15" customHeight="1">
      <c r="A12" s="35" t="n"/>
      <c r="B12" s="141" t="n"/>
      <c r="C12" s="142" t="n"/>
      <c r="D12" s="39" t="n"/>
      <c r="E12" s="40" t="n"/>
    </row>
    <row r="13" ht="15" customHeight="1">
      <c r="A13" s="35" t="n"/>
      <c r="B13" s="141" t="n"/>
      <c r="C13" s="142" t="n"/>
      <c r="D13" s="39" t="n"/>
      <c r="E13" s="40" t="n"/>
    </row>
    <row r="14" ht="15" customHeight="1">
      <c r="A14" s="35" t="n"/>
      <c r="B14" s="141" t="n"/>
      <c r="C14" s="142" t="n"/>
      <c r="D14" s="39" t="n"/>
      <c r="E14" s="40" t="n"/>
    </row>
    <row r="15" ht="15" customHeight="1">
      <c r="A15" s="35" t="n"/>
      <c r="B15" s="141" t="n"/>
      <c r="C15" s="142" t="n"/>
      <c r="D15" s="39" t="n"/>
      <c r="E15" s="40" t="n"/>
    </row>
    <row r="16" ht="15" customHeight="1">
      <c r="A16" s="35" t="n"/>
      <c r="B16" s="141" t="n"/>
      <c r="C16" s="142" t="n"/>
      <c r="D16" s="39" t="n"/>
      <c r="E16" s="40" t="n"/>
    </row>
    <row r="17" ht="15" customHeight="1">
      <c r="A17" s="35" t="n"/>
      <c r="B17" s="141" t="n"/>
      <c r="C17" s="142" t="n"/>
      <c r="D17" s="39" t="n"/>
      <c r="E17" s="40" t="n"/>
    </row>
    <row r="18" ht="15" customHeight="1">
      <c r="A18" s="35" t="n"/>
      <c r="B18" s="141" t="n"/>
      <c r="C18" s="142" t="n"/>
      <c r="D18" s="39" t="n"/>
      <c r="E18" s="40" t="n"/>
    </row>
    <row r="19" ht="15" customHeight="1">
      <c r="A19" s="35" t="n"/>
      <c r="B19" s="141" t="n"/>
      <c r="C19" s="142" t="n"/>
      <c r="D19" s="39" t="n"/>
      <c r="E19" s="40" t="n"/>
    </row>
    <row r="20" ht="15" customHeight="1">
      <c r="A20" s="35" t="n"/>
      <c r="B20" s="141" t="n"/>
      <c r="C20" s="142" t="n"/>
      <c r="D20" s="39" t="n"/>
      <c r="E20" s="40" t="n"/>
    </row>
    <row r="21" ht="15" customHeight="1">
      <c r="A21" s="35" t="n"/>
      <c r="B21" s="141" t="n"/>
      <c r="C21" s="142" t="n"/>
      <c r="D21" s="39" t="n"/>
      <c r="E21" s="40" t="n"/>
    </row>
    <row r="22" ht="15" customHeight="1" thickBot="1">
      <c r="A22" s="33" t="n"/>
      <c r="B22" s="143" t="n"/>
      <c r="C22" s="144" t="n"/>
      <c r="D22" s="38" t="n"/>
      <c r="E22" s="40" t="n"/>
    </row>
    <row r="23" ht="21.75" customHeight="1" thickBot="1">
      <c r="D23" s="40" t="n"/>
      <c r="E23" s="40" t="n"/>
    </row>
    <row r="24" ht="21" customHeight="1" thickBot="1">
      <c r="A24" s="81" t="inlineStr">
        <is>
          <t>ID</t>
        </is>
      </c>
      <c r="B24" s="137" t="inlineStr">
        <is>
          <t>2.- VALIDACIÓN DE DATOS DE ENTRADA</t>
        </is>
      </c>
      <c r="C24" s="138" t="n"/>
      <c r="D24" s="83" t="n"/>
      <c r="E24" s="40" t="n"/>
    </row>
    <row r="25" ht="15" customHeight="1">
      <c r="A25" s="37" t="inlineStr">
        <is>
          <t>E-2.1</t>
        </is>
      </c>
      <c r="B25" s="139" t="inlineStr">
        <is>
          <t>Verificar correcta lectura de la información ingresada.</t>
        </is>
      </c>
      <c r="C25" s="140" t="n"/>
      <c r="D25" s="41" t="inlineStr">
        <is>
          <t>OK</t>
        </is>
      </c>
      <c r="E25" s="40" t="n"/>
    </row>
    <row r="26" ht="15" customHeight="1">
      <c r="A26" s="35" t="inlineStr">
        <is>
          <t>E-2.2</t>
        </is>
      </c>
      <c r="B26" s="141" t="inlineStr">
        <is>
          <t>Verificar que no se puedan hacer modificaciones en las pantallas de Consultas</t>
        </is>
      </c>
      <c r="C26" s="142" t="n"/>
      <c r="D26" s="39" t="inlineStr">
        <is>
          <t>OK</t>
        </is>
      </c>
      <c r="E26" s="40" t="n"/>
    </row>
    <row r="27" ht="15" customHeight="1">
      <c r="A27" s="35" t="inlineStr">
        <is>
          <t>E-2.3</t>
        </is>
      </c>
      <c r="B27" s="141" t="inlineStr">
        <is>
          <t>Verificar la eliminación de la información.</t>
        </is>
      </c>
      <c r="C27" s="142" t="n"/>
      <c r="D27" s="39" t="inlineStr">
        <is>
          <t>OK</t>
        </is>
      </c>
      <c r="E27" s="40" t="n"/>
    </row>
    <row r="28" ht="15" customHeight="1">
      <c r="A28" s="35" t="n"/>
      <c r="B28" s="141" t="n"/>
      <c r="C28" s="142" t="n"/>
      <c r="D28" s="39" t="n"/>
      <c r="E28" s="40" t="n"/>
    </row>
    <row r="29" ht="15" customHeight="1">
      <c r="A29" s="35" t="n"/>
      <c r="B29" s="141" t="n"/>
      <c r="C29" s="142" t="n"/>
      <c r="D29" s="39" t="n"/>
    </row>
    <row r="30" ht="15" customHeight="1">
      <c r="A30" s="35" t="n"/>
      <c r="B30" s="141" t="n"/>
      <c r="C30" s="142" t="n"/>
      <c r="D30" s="39" t="n"/>
    </row>
    <row r="31" ht="15" customHeight="1">
      <c r="A31" s="35" t="n"/>
      <c r="B31" s="141" t="n"/>
      <c r="C31" s="142" t="n"/>
      <c r="D31" s="39" t="n"/>
    </row>
    <row r="32" ht="15" customHeight="1">
      <c r="A32" s="35" t="n"/>
      <c r="B32" s="141" t="n"/>
      <c r="C32" s="142" t="n"/>
      <c r="D32" s="39" t="n"/>
    </row>
    <row r="33" ht="15" customHeight="1">
      <c r="A33" s="35" t="n"/>
      <c r="B33" s="141" t="n"/>
      <c r="C33" s="142" t="n"/>
      <c r="D33" s="39" t="n"/>
    </row>
    <row r="34" ht="15" customHeight="1">
      <c r="A34" s="35" t="n"/>
      <c r="B34" s="141" t="n"/>
      <c r="C34" s="142" t="n"/>
      <c r="D34" s="39" t="n"/>
    </row>
    <row r="35" ht="15" customHeight="1">
      <c r="A35" s="35" t="n"/>
      <c r="B35" s="141" t="n"/>
      <c r="C35" s="142" t="n"/>
      <c r="D35" s="39" t="n"/>
    </row>
    <row r="36" ht="15" customHeight="1">
      <c r="A36" s="35" t="n"/>
      <c r="B36" s="141" t="n"/>
      <c r="C36" s="142" t="n"/>
      <c r="D36" s="39" t="n"/>
    </row>
    <row r="37" ht="15" customHeight="1">
      <c r="A37" s="35" t="n"/>
      <c r="B37" s="141" t="n"/>
      <c r="C37" s="142" t="n"/>
      <c r="D37" s="39" t="n"/>
    </row>
    <row r="38" ht="15" customHeight="1">
      <c r="A38" s="35" t="n"/>
      <c r="B38" s="141" t="n"/>
      <c r="C38" s="142" t="n"/>
      <c r="D38" s="39" t="n"/>
    </row>
    <row r="39" ht="15" customHeight="1">
      <c r="A39" s="35" t="n"/>
      <c r="B39" s="141" t="n"/>
      <c r="C39" s="142" t="n"/>
      <c r="D39" s="39" t="n"/>
    </row>
    <row r="40" ht="15" customHeight="1">
      <c r="A40" s="35" t="n"/>
      <c r="B40" s="141" t="n"/>
      <c r="C40" s="142" t="n"/>
      <c r="D40" s="39" t="n"/>
    </row>
    <row r="41" ht="15" customHeight="1" thickBot="1">
      <c r="A41" s="33" t="n"/>
      <c r="B41" s="143" t="n"/>
      <c r="C41" s="144" t="n"/>
      <c r="D41" s="38" t="n"/>
    </row>
    <row r="42" ht="20.1" customHeight="1" thickBot="1"/>
    <row r="43" ht="18" customHeight="1" thickBot="1">
      <c r="A43" s="81" t="inlineStr">
        <is>
          <t>ID</t>
        </is>
      </c>
      <c r="B43" s="137" t="inlineStr">
        <is>
          <t>3.- PRUEBAS FUNCIONALES</t>
        </is>
      </c>
      <c r="C43" s="138" t="n"/>
      <c r="D43" s="84" t="n"/>
    </row>
    <row r="44" ht="15" customHeight="1">
      <c r="A44" s="37" t="inlineStr">
        <is>
          <t>E-3.1</t>
        </is>
      </c>
      <c r="B44" s="139" t="inlineStr">
        <is>
          <t>Verificar que la Aplicación sea compatible con el resto de  las Aplicaciones del Ambiente de Pruebas.</t>
        </is>
      </c>
      <c r="C44" s="140" t="n"/>
      <c r="D44" s="36" t="inlineStr">
        <is>
          <t>OK</t>
        </is>
      </c>
    </row>
    <row r="45" ht="15" customHeight="1">
      <c r="A45" s="35" t="inlineStr">
        <is>
          <t>E-3.2</t>
        </is>
      </c>
      <c r="B45" s="141" t="inlineStr">
        <is>
          <t>Determinar y validar aspectos técnicos (Tablas, Bases de Datos, perfiles , etc)</t>
        </is>
      </c>
      <c r="C45" s="142" t="n"/>
      <c r="D45" s="35" t="inlineStr">
        <is>
          <t>OK</t>
        </is>
      </c>
    </row>
    <row r="46" ht="15" customHeight="1">
      <c r="A46" s="35" t="inlineStr">
        <is>
          <t>E-3.3</t>
        </is>
      </c>
      <c r="B46" s="141" t="inlineStr">
        <is>
          <t>Verificar correcto acceso a sub módulos o Programas</t>
        </is>
      </c>
      <c r="C46" s="142" t="n"/>
      <c r="D46" s="35" t="inlineStr">
        <is>
          <t>OK</t>
        </is>
      </c>
    </row>
    <row r="47" ht="15" customHeight="1">
      <c r="A47" s="35" t="n"/>
      <c r="B47" s="141" t="n"/>
      <c r="C47" s="142" t="n"/>
      <c r="D47" s="35" t="n"/>
    </row>
    <row r="48" ht="15" customHeight="1">
      <c r="A48" s="35" t="n"/>
      <c r="B48" s="141" t="n"/>
      <c r="C48" s="142" t="n"/>
      <c r="D48" s="35" t="n"/>
    </row>
    <row r="49" ht="15" customHeight="1">
      <c r="A49" s="35" t="n"/>
      <c r="B49" s="141" t="n"/>
      <c r="C49" s="142" t="n"/>
      <c r="D49" s="35" t="n"/>
    </row>
    <row r="50" ht="15" customHeight="1">
      <c r="A50" s="35" t="n"/>
      <c r="B50" s="141" t="n"/>
      <c r="C50" s="142" t="n"/>
      <c r="D50" s="35" t="n"/>
    </row>
    <row r="51" ht="15" customHeight="1">
      <c r="A51" s="35" t="n"/>
      <c r="B51" s="141" t="n"/>
      <c r="C51" s="142" t="n"/>
      <c r="D51" s="35" t="n"/>
    </row>
    <row r="52" ht="15" customHeight="1">
      <c r="A52" s="35" t="n"/>
      <c r="B52" s="141" t="n"/>
      <c r="C52" s="142" t="n"/>
      <c r="D52" s="35" t="n"/>
    </row>
    <row r="53" ht="15" customHeight="1">
      <c r="A53" s="35" t="n"/>
      <c r="B53" s="141" t="n"/>
      <c r="C53" s="142" t="n"/>
      <c r="D53" s="35" t="n"/>
    </row>
    <row r="54" ht="15" customHeight="1">
      <c r="A54" s="35" t="n"/>
      <c r="B54" s="141" t="n"/>
      <c r="C54" s="142" t="n"/>
      <c r="D54" s="35" t="n"/>
    </row>
    <row r="55" ht="15" customHeight="1">
      <c r="A55" s="35" t="n"/>
      <c r="B55" s="141" t="n"/>
      <c r="C55" s="142" t="n"/>
      <c r="D55" s="35" t="n"/>
    </row>
    <row r="56" ht="15" customHeight="1">
      <c r="A56" s="35" t="n"/>
      <c r="B56" s="141" t="n"/>
      <c r="C56" s="142" t="n"/>
      <c r="D56" s="35" t="n"/>
    </row>
    <row r="57" ht="15" customHeight="1">
      <c r="A57" s="35" t="n"/>
      <c r="B57" s="141" t="n"/>
      <c r="C57" s="142" t="n"/>
      <c r="D57" s="35" t="n"/>
    </row>
    <row r="58" ht="15" customHeight="1" thickBot="1">
      <c r="A58" s="33" t="n"/>
      <c r="B58" s="143" t="n"/>
      <c r="C58" s="144" t="n"/>
      <c r="D58" s="33" t="n"/>
    </row>
    <row r="59" ht="20.1" customHeight="1" thickBot="1"/>
    <row r="60" ht="18" customHeight="1" thickBot="1">
      <c r="A60" s="81" t="inlineStr">
        <is>
          <t>ID</t>
        </is>
      </c>
      <c r="B60" s="137" t="inlineStr">
        <is>
          <t>4.- VERIFICACIÓN DE INFORMES</t>
        </is>
      </c>
      <c r="C60" s="138" t="n"/>
      <c r="D60" s="84" t="n"/>
    </row>
    <row r="61" ht="15" customHeight="1">
      <c r="A61" s="37" t="inlineStr">
        <is>
          <t>E-4.1</t>
        </is>
      </c>
      <c r="B61" s="139" t="inlineStr">
        <is>
          <t xml:space="preserve">Verificar el correcto formato de los informes generados </t>
        </is>
      </c>
      <c r="C61" s="140" t="n"/>
      <c r="D61" s="35" t="n"/>
    </row>
    <row r="62" ht="15" customHeight="1">
      <c r="A62" s="35" t="inlineStr">
        <is>
          <t>E-4.2</t>
        </is>
      </c>
      <c r="B62" s="141" t="inlineStr">
        <is>
          <t>Verificar que  se esté siguiendo una numeración secuencial lógica de acuerdo a un orden establecido.</t>
        </is>
      </c>
      <c r="C62" s="142" t="n"/>
      <c r="D62" s="35" t="n"/>
    </row>
    <row r="63" ht="15" customHeight="1">
      <c r="A63" s="36" t="inlineStr">
        <is>
          <t>E-4.3</t>
        </is>
      </c>
      <c r="B63" s="79" t="inlineStr">
        <is>
          <t>Verificar que se realice el proceso de emisión del informe</t>
        </is>
      </c>
      <c r="C63" s="80" t="n"/>
      <c r="D63" s="35" t="n"/>
    </row>
    <row r="64" ht="15" customHeight="1">
      <c r="A64" s="36" t="n"/>
      <c r="B64" s="79" t="n"/>
      <c r="C64" s="80" t="n"/>
      <c r="D64" s="35" t="n"/>
    </row>
    <row r="65" ht="15" customHeight="1">
      <c r="A65" s="36" t="n"/>
      <c r="B65" s="79" t="n"/>
      <c r="C65" s="80" t="n"/>
      <c r="D65" s="35" t="n"/>
    </row>
    <row r="66" ht="15" customHeight="1">
      <c r="A66" s="36" t="n"/>
      <c r="B66" s="79" t="n"/>
      <c r="C66" s="80" t="n"/>
      <c r="D66" s="35" t="n"/>
    </row>
    <row r="67" ht="15" customHeight="1" thickBot="1">
      <c r="A67" s="33" t="n"/>
      <c r="B67" s="143" t="n"/>
      <c r="C67" s="144" t="n"/>
      <c r="D67" s="33" t="n"/>
    </row>
    <row r="68" ht="15" customHeight="1">
      <c r="B68" s="78" t="n"/>
    </row>
    <row r="69" ht="20.1" customHeight="1" thickBot="1"/>
    <row r="70" ht="18" customHeight="1" thickBot="1">
      <c r="A70" s="81" t="inlineStr">
        <is>
          <t>ID</t>
        </is>
      </c>
      <c r="B70" s="137" t="inlineStr">
        <is>
          <t>5.- IMPRESIONES</t>
        </is>
      </c>
      <c r="C70" s="138" t="n"/>
      <c r="D70" s="84" t="n"/>
    </row>
    <row r="71" ht="15" customHeight="1">
      <c r="A71" s="37" t="inlineStr">
        <is>
          <t>E-5.1</t>
        </is>
      </c>
      <c r="B71" s="139" t="inlineStr">
        <is>
          <t>En listados revisar márgenes, verificando que el ancho del listado no sobrepase la hoja.</t>
        </is>
      </c>
      <c r="C71" s="140" t="n"/>
      <c r="D71" s="37" t="n"/>
    </row>
    <row r="72" ht="15" customHeight="1">
      <c r="A72" s="35" t="inlineStr">
        <is>
          <t>E-5.2</t>
        </is>
      </c>
      <c r="B72" s="141" t="inlineStr">
        <is>
          <t>Verificar que el formato de la información que aparezca en las impresiones sea comprensible.</t>
        </is>
      </c>
      <c r="C72" s="142" t="n"/>
      <c r="D72" s="35" t="n"/>
    </row>
    <row r="73" ht="15" customHeight="1">
      <c r="A73" s="35" t="n"/>
      <c r="B73" s="94" t="n"/>
      <c r="C73" s="95" t="n"/>
      <c r="D73" s="35" t="n"/>
    </row>
    <row r="74" ht="15" customHeight="1">
      <c r="A74" s="35" t="n"/>
      <c r="B74" s="94" t="n"/>
      <c r="C74" s="95" t="n"/>
      <c r="D74" s="35" t="n"/>
    </row>
    <row r="75" ht="15" customHeight="1">
      <c r="A75" s="35" t="n"/>
      <c r="B75" s="141" t="n"/>
      <c r="C75" s="142" t="n"/>
      <c r="D75" s="35" t="n"/>
    </row>
    <row r="76" ht="15" customHeight="1">
      <c r="A76" s="35" t="n"/>
      <c r="B76" s="141" t="n"/>
      <c r="C76" s="142" t="n"/>
      <c r="D76" s="35" t="n"/>
    </row>
    <row r="77" ht="15" customHeight="1" thickBot="1">
      <c r="A77" s="33" t="n"/>
      <c r="B77" s="143" t="n"/>
      <c r="C77" s="144" t="n"/>
      <c r="D77" s="33" t="n"/>
    </row>
    <row r="78" ht="20.1" customHeight="1" thickBot="1"/>
    <row r="79" ht="18" customHeight="1" thickBot="1">
      <c r="A79" s="81" t="inlineStr">
        <is>
          <t>ID</t>
        </is>
      </c>
      <c r="B79" s="137" t="inlineStr">
        <is>
          <t xml:space="preserve">  6.- OBSERVACIONES ANEXAS</t>
        </is>
      </c>
      <c r="C79" s="138" t="n"/>
      <c r="D79" s="84" t="n"/>
    </row>
    <row r="80" ht="13.8" customHeight="1">
      <c r="A80" s="37" t="inlineStr">
        <is>
          <t>E-6.1</t>
        </is>
      </c>
      <c r="B80" s="139" t="n"/>
      <c r="C80" s="140" t="n"/>
      <c r="D80" s="36" t="n"/>
    </row>
    <row r="81" ht="13.8" customHeight="1">
      <c r="A81" s="35" t="inlineStr">
        <is>
          <t>E-6.2</t>
        </is>
      </c>
      <c r="B81" s="141" t="n"/>
      <c r="C81" s="142" t="n"/>
      <c r="D81" s="36" t="n"/>
    </row>
    <row r="82" ht="13.8" customHeight="1">
      <c r="A82" s="35" t="inlineStr">
        <is>
          <t>E-6.3</t>
        </is>
      </c>
      <c r="B82" s="94" t="n"/>
      <c r="C82" s="95" t="n"/>
      <c r="D82" s="36" t="n"/>
    </row>
    <row r="83" ht="13.8" customHeight="1">
      <c r="A83" s="35" t="n"/>
      <c r="B83" s="94" t="n"/>
      <c r="C83" s="95" t="n"/>
      <c r="D83" s="36" t="n"/>
    </row>
    <row r="84" ht="13.8" customHeight="1">
      <c r="A84" s="35" t="n"/>
      <c r="B84" s="94" t="n"/>
      <c r="C84" s="95" t="n"/>
      <c r="D84" s="36" t="n"/>
    </row>
    <row r="85" ht="13.8" customHeight="1">
      <c r="B85" s="141" t="n"/>
      <c r="C85" s="142" t="n"/>
      <c r="D85" s="35" t="n"/>
    </row>
    <row r="86" ht="13.8" customHeight="1">
      <c r="A86" s="35" t="n"/>
      <c r="B86" s="141" t="n"/>
      <c r="C86" s="142" t="n"/>
      <c r="D86" s="34" t="n"/>
    </row>
    <row r="87" ht="14.4" customHeight="1" thickBot="1">
      <c r="A87" s="33" t="n"/>
      <c r="B87" s="143" t="n"/>
      <c r="C87" s="144" t="n"/>
      <c r="D87" s="33" t="n"/>
    </row>
    <row r="88" ht="13.8" customHeight="1">
      <c r="B88" s="32" t="n"/>
      <c r="C88" s="32" t="n"/>
    </row>
    <row r="89" ht="13.8" customHeight="1">
      <c r="B89" s="32" t="n"/>
      <c r="C89" s="32" t="n"/>
    </row>
  </sheetData>
  <mergeCells count="70">
    <mergeCell ref="B47:C47"/>
    <mergeCell ref="B62:C62"/>
    <mergeCell ref="B54:C54"/>
    <mergeCell ref="B16:C16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21:C21"/>
    <mergeCell ref="B12:C12"/>
    <mergeCell ref="B11:C11"/>
    <mergeCell ref="B79:C79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51:C51"/>
    <mergeCell ref="B76:C76"/>
    <mergeCell ref="B20:C20"/>
    <mergeCell ref="B45:C45"/>
    <mergeCell ref="B85:C85"/>
    <mergeCell ref="B36:C36"/>
    <mergeCell ref="B32:C32"/>
    <mergeCell ref="B50:C50"/>
    <mergeCell ref="B26:C26"/>
    <mergeCell ref="B41:C41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0"/>
  <sheetViews>
    <sheetView topLeftCell="A3" zoomScale="85" zoomScaleNormal="85" workbookViewId="0">
      <selection activeCell="I16" sqref="I16"/>
    </sheetView>
  </sheetViews>
  <sheetFormatPr baseColWidth="10" defaultColWidth="17.33203125" defaultRowHeight="13.2"/>
  <cols>
    <col width="8.109375" customWidth="1" style="6" min="1" max="1"/>
    <col width="11.44140625" customWidth="1" style="6" min="2" max="2"/>
    <col width="12.6640625" customWidth="1" style="6" min="3" max="3"/>
    <col width="19" customWidth="1" style="6" min="4" max="4"/>
    <col width="9" customWidth="1" style="6" min="5" max="5"/>
    <col width="27" customWidth="1" style="6" min="6" max="6"/>
    <col width="26.33203125" customWidth="1" style="6" min="7" max="8"/>
    <col width="41.6640625" customWidth="1" style="6" min="9" max="9"/>
    <col width="5" customWidth="1" style="6" min="10" max="10"/>
    <col width="4" customWidth="1" style="6" min="11" max="11"/>
    <col width="4.5546875" customWidth="1" style="6" min="12" max="12"/>
    <col hidden="1" width="12.88671875" customWidth="1" style="6" min="13" max="13"/>
    <col width="36.44140625" customWidth="1" style="6" min="14" max="14"/>
    <col width="11.44140625" customWidth="1" style="6" min="15" max="24"/>
    <col width="17.33203125" customWidth="1" style="6" min="25" max="16384"/>
  </cols>
  <sheetData>
    <row r="1">
      <c r="A1" s="1" t="n"/>
      <c r="B1" s="1" t="n"/>
      <c r="C1" s="2" t="n"/>
      <c r="D1" s="1" t="n"/>
      <c r="E1" s="1" t="n"/>
      <c r="F1" s="1" t="n"/>
      <c r="G1" s="1" t="n"/>
      <c r="H1" s="3" t="n"/>
      <c r="I1" s="3" t="n"/>
      <c r="J1" s="3" t="n"/>
      <c r="K1" s="102" t="n"/>
      <c r="L1" s="5" t="n"/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2" t="n"/>
    </row>
    <row r="2" ht="19.5" customHeight="1">
      <c r="A2" s="1" t="n"/>
      <c r="B2" s="101" t="inlineStr">
        <is>
          <t>PLANILLA CASOS DE PRUEBA</t>
        </is>
      </c>
      <c r="K2" s="102" t="n"/>
      <c r="L2" s="5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</row>
    <row r="3" ht="20.4" customHeight="1">
      <c r="A3" s="1" t="n"/>
      <c r="B3" s="101" t="n"/>
      <c r="K3" s="102" t="n"/>
      <c r="L3" s="5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2" t="n"/>
    </row>
    <row r="4">
      <c r="A4" s="1" t="n"/>
      <c r="B4" s="1" t="n"/>
      <c r="C4" s="118" t="n"/>
      <c r="E4" s="7" t="n"/>
      <c r="F4" s="7" t="n"/>
      <c r="G4" s="7" t="n"/>
      <c r="H4" s="8" t="n"/>
      <c r="I4" s="8" t="n"/>
      <c r="J4" s="8" t="n"/>
      <c r="K4" s="85" t="n"/>
      <c r="L4" s="85" t="n"/>
      <c r="M4" s="7" t="n"/>
      <c r="N4" s="7" t="n"/>
      <c r="O4" s="102" t="n"/>
      <c r="P4" s="102" t="n"/>
      <c r="Q4" s="102" t="n"/>
      <c r="R4" s="102" t="n"/>
      <c r="S4" s="102" t="n"/>
      <c r="T4" s="102" t="n"/>
      <c r="U4" s="102" t="n"/>
      <c r="V4" s="102" t="n"/>
    </row>
    <row r="5">
      <c r="A5" s="125" t="inlineStr">
        <is>
          <t>PROYECTO</t>
        </is>
      </c>
      <c r="B5" s="145" t="n"/>
      <c r="C5" s="146" t="n"/>
      <c r="D5" s="126" t="inlineStr">
        <is>
          <t>Catch &amp; Go</t>
        </is>
      </c>
      <c r="E5" s="145" t="n"/>
      <c r="F5" s="145" t="n"/>
      <c r="G5" s="145" t="n"/>
      <c r="H5" s="145" t="n"/>
      <c r="I5" s="146" t="n"/>
      <c r="J5" s="102" t="n"/>
      <c r="K5" s="102" t="n"/>
      <c r="L5" s="102" t="n"/>
      <c r="M5" s="9" t="n"/>
      <c r="N5" s="9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125" t="inlineStr">
        <is>
          <t>MODULOS</t>
        </is>
      </c>
      <c r="B6" s="145" t="n"/>
      <c r="C6" s="146" t="n"/>
      <c r="D6" s="126" t="inlineStr">
        <is>
          <t>api-gateway, auth-service, profile-service, jobs-service, matching-service, frontend, android-app</t>
        </is>
      </c>
      <c r="E6" s="145" t="n"/>
      <c r="F6" s="145" t="n"/>
      <c r="G6" s="145" t="n"/>
      <c r="H6" s="145" t="n"/>
      <c r="I6" s="146" t="n"/>
      <c r="J6" s="102" t="n"/>
      <c r="K6" s="102" t="n"/>
      <c r="L6" s="102" t="n"/>
      <c r="M6" s="9" t="n"/>
      <c r="N6" s="9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>
      <c r="A7" s="125" t="inlineStr">
        <is>
          <t>NOMBRE JEFE DE PROYECTO</t>
        </is>
      </c>
      <c r="B7" s="145" t="n"/>
      <c r="C7" s="146" t="n"/>
      <c r="D7" s="126" t="inlineStr">
        <is>
          <t>Nicolás Iturrieta Villalobos</t>
        </is>
      </c>
      <c r="E7" s="145" t="n"/>
      <c r="F7" s="145" t="n"/>
      <c r="G7" s="145" t="n"/>
      <c r="H7" s="145" t="n"/>
      <c r="I7" s="146" t="n"/>
      <c r="J7" s="102" t="n"/>
      <c r="K7" s="102" t="n"/>
      <c r="L7" s="102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>
      <c r="A8" s="125" t="inlineStr">
        <is>
          <t>NOMBRE ANALISTA TESTING</t>
        </is>
      </c>
      <c r="B8" s="145" t="n"/>
      <c r="C8" s="146" t="n"/>
      <c r="D8" s="126" t="inlineStr">
        <is>
          <t>Marco Tassara Carrasco</t>
        </is>
      </c>
      <c r="E8" s="145" t="n"/>
      <c r="F8" s="145" t="n"/>
      <c r="G8" s="145" t="n"/>
      <c r="H8" s="145" t="n"/>
      <c r="I8" s="146" t="n"/>
      <c r="J8" s="102" t="n"/>
      <c r="K8" s="102" t="n"/>
      <c r="L8" s="102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>
      <c r="A9" s="125" t="inlineStr">
        <is>
          <t>Nº CICLO</t>
        </is>
      </c>
      <c r="B9" s="145" t="n"/>
      <c r="C9" s="146" t="n"/>
      <c r="D9" s="126" t="inlineStr">
        <is>
          <t>Ciclo 1</t>
        </is>
      </c>
      <c r="E9" s="145" t="n"/>
      <c r="F9" s="145" t="n"/>
      <c r="G9" s="145" t="n"/>
      <c r="H9" s="145" t="n"/>
      <c r="I9" s="146" t="n"/>
      <c r="J9" s="102" t="n"/>
      <c r="K9" s="102" t="n"/>
      <c r="L9" s="102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>
      <c r="A10" s="125" t="inlineStr">
        <is>
          <t>FECHA</t>
        </is>
      </c>
      <c r="B10" s="145" t="n"/>
      <c r="C10" s="146" t="n"/>
      <c r="D10" s="127" t="inlineStr">
        <is>
          <t>08-06-2026</t>
        </is>
      </c>
      <c r="E10" s="145" t="n"/>
      <c r="F10" s="145" t="n"/>
      <c r="G10" s="145" t="n"/>
      <c r="H10" s="145" t="n"/>
      <c r="I10" s="146" t="n"/>
      <c r="J10" s="102" t="n"/>
      <c r="K10" s="102" t="n"/>
      <c r="L10" s="102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23.4" customHeight="1" thickBot="1">
      <c r="A11" s="10" t="inlineStr">
        <is>
          <t>Aplicación satélite</t>
        </is>
      </c>
      <c r="B11" s="10" t="n"/>
      <c r="C11" s="119" t="n"/>
      <c r="D11" s="147" t="n"/>
      <c r="E11" s="121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</row>
    <row r="12" ht="23.4" customHeight="1" thickBot="1">
      <c r="A12" s="11" t="inlineStr">
        <is>
          <t>N° Caso
Uso</t>
        </is>
      </c>
      <c r="B12" s="11" t="inlineStr">
        <is>
          <t>Caso Uso</t>
        </is>
      </c>
      <c r="C12" s="12" t="inlineStr">
        <is>
          <t>MODULO</t>
        </is>
      </c>
      <c r="D12" s="11" t="inlineStr">
        <is>
          <t>FUNCIONALIDAD</t>
        </is>
      </c>
      <c r="E12" s="13" t="inlineStr">
        <is>
          <t>Nº CASO de PRUEBA</t>
        </is>
      </c>
      <c r="F12" s="11" t="inlineStr">
        <is>
          <t>CASOS DE PRUEBAS
( QUE PROBAR )</t>
        </is>
      </c>
      <c r="G12" s="11" t="inlineStr">
        <is>
          <t>PROCEDIMIENTO DE PRUEBA 
(COMO)</t>
        </is>
      </c>
      <c r="H12" s="11" t="inlineStr">
        <is>
          <t>DATOS DE PRUEBA
(CON QUE PROBAR)</t>
        </is>
      </c>
      <c r="I12" s="11" t="inlineStr">
        <is>
          <t>RESULTADO ESPERADO</t>
        </is>
      </c>
      <c r="J12" s="148" t="inlineStr">
        <is>
          <t xml:space="preserve">RESULTADO OBTENIDO </t>
        </is>
      </c>
      <c r="K12" s="149" t="n"/>
      <c r="L12" s="149" t="n"/>
      <c r="M12" s="149" t="n"/>
      <c r="N12" s="150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</row>
    <row r="13" ht="13.8" customHeight="1" thickBot="1">
      <c r="A13" s="15" t="n"/>
      <c r="B13" s="15" t="n"/>
      <c r="C13" s="16" t="n"/>
      <c r="D13" s="17" t="n"/>
      <c r="E13" s="18" t="n"/>
      <c r="F13" s="17" t="n"/>
      <c r="G13" s="17" t="n"/>
      <c r="H13" s="17" t="n"/>
      <c r="I13" s="17" t="n"/>
      <c r="J13" s="19" t="inlineStr">
        <is>
          <t>SI</t>
        </is>
      </c>
      <c r="K13" s="19" t="inlineStr">
        <is>
          <t>NO</t>
        </is>
      </c>
      <c r="L13" s="19" t="inlineStr">
        <is>
          <t>N/A</t>
        </is>
      </c>
      <c r="M13" s="19" t="inlineStr">
        <is>
          <t>P</t>
        </is>
      </c>
      <c r="N13" s="20" t="inlineStr">
        <is>
          <t>Descripción</t>
        </is>
      </c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</row>
    <row r="14" ht="27" customHeight="1" thickBot="1">
      <c r="A14" s="151" t="n">
        <v>1</v>
      </c>
      <c r="B14" s="152" t="inlineStr">
        <is>
          <t>Registrar usuario</t>
        </is>
      </c>
      <c r="C14" s="152" t="inlineStr">
        <is>
          <t>auth-service</t>
        </is>
      </c>
      <c r="D14" s="152" t="inlineStr">
        <is>
          <t>Funcional</t>
        </is>
      </c>
      <c r="E14" s="151" t="n">
        <v>1</v>
      </c>
      <c r="F14" s="152" t="inlineStr">
        <is>
          <t>Registro de Trabajador con datos correctos</t>
        </is>
      </c>
      <c r="G14" s="153" t="inlineStr">
        <is>
          <t>1. Ingresar al formulario de registro en Web o App Android.</t>
        </is>
      </c>
      <c r="H14" s="153" t="inlineStr">
        <is>
          <t>Nombre: Juan Pérez, Correo: juan.perez@email.com, Teléfono: +56912345678, Password: Password123!, Rol: Trabajador</t>
        </is>
      </c>
      <c r="I14" s="152" t="inlineStr">
        <is>
          <t>Se muestra la pantalla de registro con todos los campos.</t>
        </is>
      </c>
      <c r="J14" s="151" t="inlineStr">
        <is>
          <t>OK</t>
        </is>
      </c>
      <c r="K14" s="151" t="n"/>
      <c r="L14" s="151" t="n"/>
      <c r="M14" s="151" t="n"/>
      <c r="N14" s="152" t="inlineStr">
        <is>
          <t>El registro de trabajador se completó de manera exitosa en web y móvil.</t>
        </is>
      </c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26.4" customHeight="1">
      <c r="A15" s="154" t="n"/>
      <c r="B15" s="154" t="n"/>
      <c r="C15" s="154" t="n"/>
      <c r="D15" s="154" t="n"/>
      <c r="E15" s="154" t="n"/>
      <c r="F15" s="154" t="n"/>
      <c r="G15" s="153" t="inlineStr">
        <is>
          <t>2. Ingresar Nombre, Correo, Teléfono, Contraseña, seleccionar rol 'Trabajador'.</t>
        </is>
      </c>
      <c r="H15" s="155" t="n"/>
      <c r="I15" s="152" t="inlineStr">
        <is>
          <t>Los campos se completan correctamente sin errores visuales.</t>
        </is>
      </c>
      <c r="J15" s="154" t="n"/>
      <c r="K15" s="154" t="n"/>
      <c r="L15" s="154" t="n"/>
      <c r="M15" s="154" t="n"/>
      <c r="N15" s="154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53.4" customHeight="1" thickBot="1">
      <c r="A16" s="156" t="n"/>
      <c r="B16" s="156" t="n"/>
      <c r="C16" s="156" t="n"/>
      <c r="D16" s="156" t="n"/>
      <c r="E16" s="156" t="n"/>
      <c r="F16" s="156" t="n"/>
      <c r="G16" s="153" t="inlineStr">
        <is>
          <t>3. Presionar el botón 'Registrar'.</t>
        </is>
      </c>
      <c r="H16" s="157" t="n"/>
      <c r="I16" s="153" t="inlineStr">
        <is>
          <t>Se registra el usuario en BD, se redirige al Login y se muestra un mensaje de éxito.</t>
        </is>
      </c>
      <c r="J16" s="156" t="n"/>
      <c r="K16" s="156" t="n"/>
      <c r="L16" s="156" t="n"/>
      <c r="M16" s="156" t="n"/>
      <c r="N16" s="156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25.5" customHeight="1">
      <c r="A17" s="151" t="n">
        <v>1</v>
      </c>
      <c r="B17" s="152" t="inlineStr">
        <is>
          <t>Registrar usuario</t>
        </is>
      </c>
      <c r="C17" s="152" t="inlineStr">
        <is>
          <t>auth-service</t>
        </is>
      </c>
      <c r="D17" s="152" t="inlineStr">
        <is>
          <t>Funcional</t>
        </is>
      </c>
      <c r="E17" s="151" t="n">
        <v>2</v>
      </c>
      <c r="F17" s="153" t="inlineStr">
        <is>
          <t>Registro de Empresa con datos correctos</t>
        </is>
      </c>
      <c r="G17" s="153" t="inlineStr">
        <is>
          <t>1. Ingresar al formulario de registro en Web.</t>
        </is>
      </c>
      <c r="H17" s="153" t="inlineStr">
        <is>
          <t>Nombre: Empresa Corp, Correo: contacto@empresa.com, Teléfono: +56987654321, Password: CompanyPass!, Rol: Empresa</t>
        </is>
      </c>
      <c r="I17" s="153" t="inlineStr">
        <is>
          <t>Se muestra la pantalla de registro.</t>
        </is>
      </c>
      <c r="J17" s="151" t="inlineStr">
        <is>
          <t>OK</t>
        </is>
      </c>
      <c r="K17" s="151" t="n"/>
      <c r="L17" s="151" t="n"/>
      <c r="M17" s="151" t="n"/>
      <c r="N17" s="152" t="inlineStr">
        <is>
          <t>El registro de la empresa se completó de manera exitosa en el panel web.</t>
        </is>
      </c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26.4" customHeight="1">
      <c r="A18" s="154" t="n"/>
      <c r="B18" s="154" t="n"/>
      <c r="C18" s="154" t="n"/>
      <c r="D18" s="154" t="n"/>
      <c r="E18" s="154" t="n"/>
      <c r="F18" s="155" t="n"/>
      <c r="G18" s="153" t="inlineStr">
        <is>
          <t>2. Ingresar Nombre, Correo, Teléfono, Contraseña, seleccionar rol 'Empresa'.</t>
        </is>
      </c>
      <c r="H18" s="155" t="n"/>
      <c r="I18" s="153" t="inlineStr">
        <is>
          <t>Los campos se completan correctamente.</t>
        </is>
      </c>
      <c r="J18" s="154" t="n"/>
      <c r="K18" s="154" t="n"/>
      <c r="L18" s="154" t="n"/>
      <c r="M18" s="154" t="n"/>
      <c r="N18" s="154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66.59999999999999" customHeight="1" thickBot="1">
      <c r="A19" s="156" t="n"/>
      <c r="B19" s="156" t="n"/>
      <c r="C19" s="156" t="n"/>
      <c r="D19" s="156" t="n"/>
      <c r="E19" s="156" t="n"/>
      <c r="F19" s="157" t="n"/>
      <c r="G19" s="153" t="inlineStr">
        <is>
          <t>3. Presionar el botón 'Registrar'.</t>
        </is>
      </c>
      <c r="H19" s="157" t="n"/>
      <c r="I19" s="153" t="inlineStr">
        <is>
          <t>Registro exitoso de la cuenta de empresa en BD y redirección al login.</t>
        </is>
      </c>
      <c r="J19" s="156" t="n"/>
      <c r="K19" s="156" t="n"/>
      <c r="L19" s="156" t="n"/>
      <c r="M19" s="156" t="n"/>
      <c r="N19" s="156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>
      <c r="A20" s="151" t="n">
        <v>1</v>
      </c>
      <c r="B20" s="152" t="inlineStr">
        <is>
          <t>Registrar usuario</t>
        </is>
      </c>
      <c r="C20" s="152" t="inlineStr">
        <is>
          <t>auth-service</t>
        </is>
      </c>
      <c r="D20" s="152" t="inlineStr">
        <is>
          <t>Funcional</t>
        </is>
      </c>
      <c r="E20" s="151" t="n">
        <v>3</v>
      </c>
      <c r="F20" s="152" t="inlineStr">
        <is>
          <t>Registro fallido por campos vacíos</t>
        </is>
      </c>
      <c r="G20" s="152" t="inlineStr">
        <is>
          <t>1. Ingresar al formulario de registro.</t>
        </is>
      </c>
      <c r="H20" s="152" t="inlineStr">
        <is>
          <t>Campos vacíos</t>
        </is>
      </c>
      <c r="I20" s="152" t="inlineStr">
        <is>
          <t>Se visualiza el formulario.</t>
        </is>
      </c>
      <c r="J20" s="151" t="inlineStr">
        <is>
          <t>OK</t>
        </is>
      </c>
      <c r="K20" s="158" t="n"/>
      <c r="L20" s="158" t="n"/>
      <c r="M20" s="158" t="n"/>
      <c r="N20" s="159" t="inlineStr">
        <is>
          <t>Validación correcta de campos obligatorios en el formulario de registro.</t>
        </is>
      </c>
    </row>
    <row r="21">
      <c r="A21" s="156" t="n"/>
      <c r="B21" s="156" t="n"/>
      <c r="C21" s="156" t="n"/>
      <c r="D21" s="156" t="n"/>
      <c r="E21" s="156" t="n"/>
      <c r="F21" s="156" t="n"/>
      <c r="G21" s="152" t="inlineStr">
        <is>
          <t>2. Dejar campos en blanco y presionar 'Registrar'.</t>
        </is>
      </c>
      <c r="H21" s="156" t="n"/>
      <c r="I21" s="152" t="inlineStr">
        <is>
          <t>Se muestran alertas visuales indicando que los campos son obligatorios y el registro se bloquea.</t>
        </is>
      </c>
      <c r="J21" s="156" t="n"/>
      <c r="K21" s="156" t="n"/>
      <c r="L21" s="156" t="n"/>
      <c r="M21" s="156" t="n"/>
      <c r="N21" s="156" t="n"/>
    </row>
    <row r="22">
      <c r="A22" s="151" t="n">
        <v>1</v>
      </c>
      <c r="B22" s="152" t="inlineStr">
        <is>
          <t>Registrar usuario</t>
        </is>
      </c>
      <c r="C22" s="152" t="inlineStr">
        <is>
          <t>auth-service</t>
        </is>
      </c>
      <c r="D22" s="152" t="inlineStr">
        <is>
          <t>Funcional</t>
        </is>
      </c>
      <c r="E22" s="151" t="n">
        <v>4</v>
      </c>
      <c r="F22" s="152" t="inlineStr">
        <is>
          <t>Registro fallido por formato de correo inválido</t>
        </is>
      </c>
      <c r="G22" s="152" t="inlineStr">
        <is>
          <t>1. Ingresar al formulario de registro.</t>
        </is>
      </c>
      <c r="H22" s="152" t="inlineStr">
        <is>
          <t>Correo: juan.perez_email.com, Password: Password123!</t>
        </is>
      </c>
      <c r="I22" s="152" t="inlineStr">
        <is>
          <t>Se abre el formulario.</t>
        </is>
      </c>
      <c r="J22" s="151" t="inlineStr">
        <is>
          <t>OK</t>
        </is>
      </c>
      <c r="K22" s="158" t="n"/>
      <c r="L22" s="158" t="n"/>
      <c r="M22" s="158" t="n"/>
      <c r="N22" s="159" t="inlineStr">
        <is>
          <t>Validación exitosa del formato de correo electrónico en el registro.</t>
        </is>
      </c>
    </row>
    <row r="23">
      <c r="A23" s="154" t="n"/>
      <c r="B23" s="154" t="n"/>
      <c r="C23" s="154" t="n"/>
      <c r="D23" s="154" t="n"/>
      <c r="E23" s="154" t="n"/>
      <c r="F23" s="154" t="n"/>
      <c r="G23" s="152" t="inlineStr">
        <is>
          <t>2. Ingresar correo sin formato válido (ej: 'correo.com') y completar los demás datos.</t>
        </is>
      </c>
      <c r="H23" s="154" t="n"/>
      <c r="I23" s="152" t="inlineStr">
        <is>
          <t>El sistema indica que el formato de correo es incorrecto en tiempo real.</t>
        </is>
      </c>
      <c r="J23" s="154" t="n"/>
      <c r="K23" s="154" t="n"/>
      <c r="L23" s="154" t="n"/>
      <c r="M23" s="154" t="n"/>
      <c r="N23" s="154" t="n"/>
    </row>
    <row r="24">
      <c r="A24" s="156" t="n"/>
      <c r="B24" s="156" t="n"/>
      <c r="C24" s="156" t="n"/>
      <c r="D24" s="156" t="n"/>
      <c r="E24" s="156" t="n"/>
      <c r="F24" s="156" t="n"/>
      <c r="G24" s="152" t="inlineStr">
        <is>
          <t>3. Presionar 'Registrar'.</t>
        </is>
      </c>
      <c r="H24" s="156" t="n"/>
      <c r="I24" s="152" t="inlineStr">
        <is>
          <t>No se realiza el registro y se mantiene en la misma pantalla.</t>
        </is>
      </c>
      <c r="J24" s="156" t="n"/>
      <c r="K24" s="156" t="n"/>
      <c r="L24" s="156" t="n"/>
      <c r="M24" s="156" t="n"/>
      <c r="N24" s="156" t="n"/>
    </row>
    <row r="25">
      <c r="A25" s="151" t="n">
        <v>2</v>
      </c>
      <c r="B25" s="152" t="inlineStr">
        <is>
          <t>Iniciar sesión</t>
        </is>
      </c>
      <c r="C25" s="152" t="inlineStr">
        <is>
          <t>auth-service</t>
        </is>
      </c>
      <c r="D25" s="152" t="inlineStr">
        <is>
          <t>Funcional</t>
        </is>
      </c>
      <c r="E25" s="151" t="n">
        <v>5</v>
      </c>
      <c r="F25" s="152" t="inlineStr">
        <is>
          <t>Inicio de sesión de Trabajador exitoso</t>
        </is>
      </c>
      <c r="G25" s="152" t="inlineStr">
        <is>
          <t>1. Ingresar al Login en la Web o App Android.</t>
        </is>
      </c>
      <c r="H25" s="152" t="inlineStr">
        <is>
          <t>Correo: juan.perez@email.com, Password: Password123!</t>
        </is>
      </c>
      <c r="I25" s="152" t="inlineStr">
        <is>
          <t>Se despliega pantalla de login.</t>
        </is>
      </c>
      <c r="J25" s="151" t="inlineStr">
        <is>
          <t>OK</t>
        </is>
      </c>
      <c r="K25" s="158" t="n"/>
      <c r="L25" s="158" t="n"/>
      <c r="M25" s="158" t="n"/>
      <c r="N25" s="159" t="inlineStr">
        <is>
          <t>Inicio de sesión correcto obteniendo token JWT de autorización.</t>
        </is>
      </c>
    </row>
    <row r="26">
      <c r="A26" s="154" t="n"/>
      <c r="B26" s="154" t="n"/>
      <c r="C26" s="154" t="n"/>
      <c r="D26" s="154" t="n"/>
      <c r="E26" s="154" t="n"/>
      <c r="F26" s="154" t="n"/>
      <c r="G26" s="152" t="inlineStr">
        <is>
          <t>2. Ingresar correo y contraseña válidos de Trabajador.</t>
        </is>
      </c>
      <c r="H26" s="154" t="n"/>
      <c r="I26" s="152" t="inlineStr">
        <is>
          <t>Credenciales escritas correctamente.</t>
        </is>
      </c>
      <c r="J26" s="154" t="n"/>
      <c r="K26" s="154" t="n"/>
      <c r="L26" s="154" t="n"/>
      <c r="M26" s="154" t="n"/>
      <c r="N26" s="154" t="n"/>
    </row>
    <row r="27">
      <c r="A27" s="156" t="n"/>
      <c r="B27" s="156" t="n"/>
      <c r="C27" s="156" t="n"/>
      <c r="D27" s="156" t="n"/>
      <c r="E27" s="156" t="n"/>
      <c r="F27" s="156" t="n"/>
      <c r="G27" s="152" t="inlineStr">
        <is>
          <t>3. Presionar 'Iniciar Sesión'.</t>
        </is>
      </c>
      <c r="H27" s="156" t="n"/>
      <c r="I27" s="152" t="inlineStr">
        <is>
          <t>Inicio de sesión exitoso, se genera y guarda el token JWT, y se ingresa al Dashboard de Trabajador.</t>
        </is>
      </c>
      <c r="J27" s="156" t="n"/>
      <c r="K27" s="156" t="n"/>
      <c r="L27" s="156" t="n"/>
      <c r="M27" s="156" t="n"/>
      <c r="N27" s="156" t="n"/>
    </row>
    <row r="28">
      <c r="A28" s="151" t="n">
        <v>2</v>
      </c>
      <c r="B28" s="152" t="inlineStr">
        <is>
          <t>Iniciar sesión</t>
        </is>
      </c>
      <c r="C28" s="152" t="inlineStr">
        <is>
          <t>auth-service</t>
        </is>
      </c>
      <c r="D28" s="152" t="inlineStr">
        <is>
          <t>Funcional</t>
        </is>
      </c>
      <c r="E28" s="151" t="n">
        <v>6</v>
      </c>
      <c r="F28" s="152" t="inlineStr">
        <is>
          <t>Inicio de sesión de Empresa exitoso</t>
        </is>
      </c>
      <c r="G28" s="152" t="inlineStr">
        <is>
          <t>1. Ingresar al Login de la Web.</t>
        </is>
      </c>
      <c r="H28" s="152" t="inlineStr">
        <is>
          <t>Correo: contacto@empresa.com, Password: CompanyPass!</t>
        </is>
      </c>
      <c r="I28" s="152" t="inlineStr">
        <is>
          <t>Se muestra el login.</t>
        </is>
      </c>
      <c r="J28" s="151" t="inlineStr">
        <is>
          <t>OK</t>
        </is>
      </c>
      <c r="K28" s="158" t="n"/>
      <c r="L28" s="158" t="n"/>
      <c r="M28" s="158" t="n"/>
      <c r="N28" s="159" t="inlineStr">
        <is>
          <t>Inicio de sesión correcto para perfil empresa.</t>
        </is>
      </c>
    </row>
    <row r="29">
      <c r="A29" s="154" t="n"/>
      <c r="B29" s="154" t="n"/>
      <c r="C29" s="154" t="n"/>
      <c r="D29" s="154" t="n"/>
      <c r="E29" s="154" t="n"/>
      <c r="F29" s="154" t="n"/>
      <c r="G29" s="152" t="inlineStr">
        <is>
          <t>2. Ingresar correo y contraseña de Empresa.</t>
        </is>
      </c>
      <c r="H29" s="154" t="n"/>
      <c r="I29" s="152" t="inlineStr">
        <is>
          <t>Datos completados.</t>
        </is>
      </c>
      <c r="J29" s="154" t="n"/>
      <c r="K29" s="154" t="n"/>
      <c r="L29" s="154" t="n"/>
      <c r="M29" s="154" t="n"/>
      <c r="N29" s="154" t="n"/>
    </row>
    <row r="30">
      <c r="A30" s="156" t="n"/>
      <c r="B30" s="156" t="n"/>
      <c r="C30" s="156" t="n"/>
      <c r="D30" s="156" t="n"/>
      <c r="E30" s="156" t="n"/>
      <c r="F30" s="156" t="n"/>
      <c r="G30" s="152" t="inlineStr">
        <is>
          <t>3. Presionar 'Iniciar Sesión'.</t>
        </is>
      </c>
      <c r="H30" s="156" t="n"/>
      <c r="I30" s="152" t="inlineStr">
        <is>
          <t>Ingreso exitoso al Dashboard de Empresa con token JWT activo en cabeceras.</t>
        </is>
      </c>
      <c r="J30" s="156" t="n"/>
      <c r="K30" s="156" t="n"/>
      <c r="L30" s="156" t="n"/>
      <c r="M30" s="156" t="n"/>
      <c r="N30" s="156" t="n"/>
    </row>
    <row r="31">
      <c r="A31" s="151" t="n">
        <v>2</v>
      </c>
      <c r="B31" s="152" t="inlineStr">
        <is>
          <t>Iniciar sesión</t>
        </is>
      </c>
      <c r="C31" s="152" t="inlineStr">
        <is>
          <t>auth-service</t>
        </is>
      </c>
      <c r="D31" s="152" t="inlineStr">
        <is>
          <t>Funcional</t>
        </is>
      </c>
      <c r="E31" s="151" t="n">
        <v>7</v>
      </c>
      <c r="F31" s="152" t="inlineStr">
        <is>
          <t>Inicio de sesión fallido por credenciales inválidas</t>
        </is>
      </c>
      <c r="G31" s="152" t="inlineStr">
        <is>
          <t>1. Ingresar al Login.</t>
        </is>
      </c>
      <c r="H31" s="152" t="inlineStr">
        <is>
          <t>Correo: noexiste@email.com, Password: WrongPassword</t>
        </is>
      </c>
      <c r="I31" s="152" t="inlineStr">
        <is>
          <t>Se muestra el login.</t>
        </is>
      </c>
      <c r="J31" s="151" t="inlineStr">
        <is>
          <t>OK</t>
        </is>
      </c>
      <c r="K31" s="158" t="n"/>
      <c r="L31" s="158" t="n"/>
      <c r="M31" s="158" t="n"/>
      <c r="N31" s="159" t="inlineStr">
        <is>
          <t>Validación correcta de credenciales inválidas en el inicio de sesión.</t>
        </is>
      </c>
    </row>
    <row r="32">
      <c r="A32" s="154" t="n"/>
      <c r="B32" s="154" t="n"/>
      <c r="C32" s="154" t="n"/>
      <c r="D32" s="154" t="n"/>
      <c r="E32" s="154" t="n"/>
      <c r="F32" s="154" t="n"/>
      <c r="G32" s="152" t="inlineStr">
        <is>
          <t>2. Ingresar contraseña incorrecta o correo no registrado.</t>
        </is>
      </c>
      <c r="H32" s="154" t="n"/>
      <c r="I32" s="152" t="inlineStr">
        <is>
          <t>Se ingresan los datos de prueba.</t>
        </is>
      </c>
      <c r="J32" s="154" t="n"/>
      <c r="K32" s="154" t="n"/>
      <c r="L32" s="154" t="n"/>
      <c r="M32" s="154" t="n"/>
      <c r="N32" s="154" t="n"/>
    </row>
    <row r="33">
      <c r="A33" s="156" t="n"/>
      <c r="B33" s="156" t="n"/>
      <c r="C33" s="156" t="n"/>
      <c r="D33" s="156" t="n"/>
      <c r="E33" s="156" t="n"/>
      <c r="F33" s="156" t="n"/>
      <c r="G33" s="152" t="inlineStr">
        <is>
          <t>3. Presionar 'Iniciar Sesión'.</t>
        </is>
      </c>
      <c r="H33" s="156" t="n"/>
      <c r="I33" s="152" t="inlineStr">
        <is>
          <t>Se muestra el mensaje 'Credenciales incorrectas' y se bloquea el acceso.</t>
        </is>
      </c>
      <c r="J33" s="156" t="n"/>
      <c r="K33" s="156" t="n"/>
      <c r="L33" s="156" t="n"/>
      <c r="M33" s="156" t="n"/>
      <c r="N33" s="156" t="n"/>
    </row>
    <row r="34">
      <c r="A34" s="151" t="n">
        <v>2</v>
      </c>
      <c r="B34" s="152" t="inlineStr">
        <is>
          <t>Iniciar sesión</t>
        </is>
      </c>
      <c r="C34" s="152" t="inlineStr">
        <is>
          <t>auth-service</t>
        </is>
      </c>
      <c r="D34" s="152" t="inlineStr">
        <is>
          <t>Funcional</t>
        </is>
      </c>
      <c r="E34" s="151" t="n">
        <v>8</v>
      </c>
      <c r="F34" s="152" t="inlineStr">
        <is>
          <t>Persistencia de sesión (DataStore / LocalStorage)</t>
        </is>
      </c>
      <c r="G34" s="152" t="inlineStr">
        <is>
          <t>1. Iniciar sesión correctamente en la App Android o Web.</t>
        </is>
      </c>
      <c r="H34" s="152" t="inlineStr">
        <is>
          <t>Sesión activa de juan.perez@email.com</t>
        </is>
      </c>
      <c r="I34" s="152" t="inlineStr">
        <is>
          <t>Inicio de sesión exitoso.</t>
        </is>
      </c>
      <c r="J34" s="151" t="inlineStr">
        <is>
          <t>OK</t>
        </is>
      </c>
      <c r="K34" s="158" t="n"/>
      <c r="L34" s="158" t="n"/>
      <c r="M34" s="158" t="n"/>
      <c r="N34" s="159" t="inlineStr">
        <is>
          <t>Persistencia correcta de sesión mediante almacenamiento del token JWT.</t>
        </is>
      </c>
    </row>
    <row r="35">
      <c r="A35" s="154" t="n"/>
      <c r="B35" s="154" t="n"/>
      <c r="C35" s="154" t="n"/>
      <c r="D35" s="154" t="n"/>
      <c r="E35" s="154" t="n"/>
      <c r="F35" s="154" t="n"/>
      <c r="G35" s="152" t="inlineStr">
        <is>
          <t>2. Cerrar la aplicación o refrescar la página.</t>
        </is>
      </c>
      <c r="H35" s="154" t="n"/>
      <c r="I35" s="152" t="inlineStr">
        <is>
          <t>Aplicación cerrada / pestaña recargada.</t>
        </is>
      </c>
      <c r="J35" s="154" t="n"/>
      <c r="K35" s="154" t="n"/>
      <c r="L35" s="154" t="n"/>
      <c r="M35" s="154" t="n"/>
      <c r="N35" s="154" t="n"/>
    </row>
    <row r="36">
      <c r="A36" s="156" t="n"/>
      <c r="B36" s="156" t="n"/>
      <c r="C36" s="156" t="n"/>
      <c r="D36" s="156" t="n"/>
      <c r="E36" s="156" t="n"/>
      <c r="F36" s="156" t="n"/>
      <c r="G36" s="152" t="inlineStr">
        <is>
          <t>3. Volver a abrir la aplicación / Web.</t>
        </is>
      </c>
      <c r="H36" s="156" t="n"/>
      <c r="I36" s="152" t="inlineStr">
        <is>
          <t>Se mantiene la sesión abierta y redirige directamente al Dashboard sin pedir login.</t>
        </is>
      </c>
      <c r="J36" s="156" t="n"/>
      <c r="K36" s="156" t="n"/>
      <c r="L36" s="156" t="n"/>
      <c r="M36" s="156" t="n"/>
      <c r="N36" s="156" t="n"/>
    </row>
    <row r="37">
      <c r="A37" s="151" t="n">
        <v>3</v>
      </c>
      <c r="B37" s="152" t="inlineStr">
        <is>
          <t>Mantener perfil</t>
        </is>
      </c>
      <c r="C37" s="152" t="inlineStr">
        <is>
          <t>profile-service</t>
        </is>
      </c>
      <c r="D37" s="152" t="inlineStr">
        <is>
          <t>Funcional</t>
        </is>
      </c>
      <c r="E37" s="151" t="n">
        <v>9</v>
      </c>
      <c r="F37" s="152" t="inlineStr">
        <is>
          <t>Actualizar perfil de Trabajador</t>
        </is>
      </c>
      <c r="G37" s="152" t="inlineStr">
        <is>
          <t>1. Ir a 'Mi Perfil' en la App Android o Web.</t>
        </is>
      </c>
      <c r="H37" s="152" t="inlineStr">
        <is>
          <t>Habilidades: Electricidad, Pintura; Comuna: Santiago; Lat: -33.456, Lng: -70.648</t>
        </is>
      </c>
      <c r="I37" s="152" t="inlineStr">
        <is>
          <t>Se muestra la pantalla del perfil.</t>
        </is>
      </c>
      <c r="J37" s="151" t="inlineStr">
        <is>
          <t>OK</t>
        </is>
      </c>
      <c r="K37" s="158" t="n"/>
      <c r="L37" s="158" t="n"/>
      <c r="M37" s="158" t="n"/>
      <c r="N37" s="159" t="inlineStr">
        <is>
          <t>Modificación exitosa de habilidades y ubicación geográfica de un trabajador.</t>
        </is>
      </c>
    </row>
    <row r="38">
      <c r="A38" s="156" t="n"/>
      <c r="B38" s="156" t="n"/>
      <c r="C38" s="156" t="n"/>
      <c r="D38" s="156" t="n"/>
      <c r="E38" s="156" t="n"/>
      <c r="F38" s="156" t="n"/>
      <c r="G38" s="152" t="inlineStr">
        <is>
          <t>2. Editar habilidades, comuna y presionar 'Guardar'.</t>
        </is>
      </c>
      <c r="H38" s="156" t="n"/>
      <c r="I38" s="152" t="inlineStr">
        <is>
          <t>Se actualizan los datos exitosamente en la base de datos y se muestra mensaje de confirmación.</t>
        </is>
      </c>
      <c r="J38" s="156" t="n"/>
      <c r="K38" s="156" t="n"/>
      <c r="L38" s="156" t="n"/>
      <c r="M38" s="156" t="n"/>
      <c r="N38" s="156" t="n"/>
    </row>
    <row r="39">
      <c r="A39" s="151" t="n">
        <v>3</v>
      </c>
      <c r="B39" s="152" t="inlineStr">
        <is>
          <t>Mantener perfil</t>
        </is>
      </c>
      <c r="C39" s="152" t="inlineStr">
        <is>
          <t>profile-service</t>
        </is>
      </c>
      <c r="D39" s="152" t="inlineStr">
        <is>
          <t>Funcional</t>
        </is>
      </c>
      <c r="E39" s="151" t="n">
        <v>10</v>
      </c>
      <c r="F39" s="152" t="inlineStr">
        <is>
          <t>Actualizar perfil de Empresa</t>
        </is>
      </c>
      <c r="G39" s="152" t="inlineStr">
        <is>
          <t>1. Ir a 'Perfil Empresa' en el Frontend Web.</t>
        </is>
      </c>
      <c r="H39" s="152" t="inlineStr">
        <is>
          <t>Dirección: Av. Providencia 1234, Teléfono: +56999998888</t>
        </is>
      </c>
      <c r="I39" s="152" t="inlineStr">
        <is>
          <t>Se despliega la pantalla de edición.</t>
        </is>
      </c>
      <c r="J39" s="151" t="inlineStr">
        <is>
          <t>OK</t>
        </is>
      </c>
      <c r="K39" s="158" t="n"/>
      <c r="L39" s="158" t="n"/>
      <c r="M39" s="158" t="n"/>
      <c r="N39" s="159" t="inlineStr">
        <is>
          <t>Actualización exitosa de datos corporativos de la empresa.</t>
        </is>
      </c>
    </row>
    <row r="40">
      <c r="A40" s="156" t="n"/>
      <c r="B40" s="156" t="n"/>
      <c r="C40" s="156" t="n"/>
      <c r="D40" s="156" t="n"/>
      <c r="E40" s="156" t="n"/>
      <c r="F40" s="156" t="n"/>
      <c r="G40" s="152" t="inlineStr">
        <is>
          <t>2. Modificar dirección de la empresa y teléfono de contacto, presionar 'Guardar'.</t>
        </is>
      </c>
      <c r="H40" s="156" t="n"/>
      <c r="I40" s="152" t="inlineStr">
        <is>
          <t>Los cambios se guardan exitosamente y se actualiza la información visualizada en el perfil.</t>
        </is>
      </c>
      <c r="J40" s="156" t="n"/>
      <c r="K40" s="156" t="n"/>
      <c r="L40" s="156" t="n"/>
      <c r="M40" s="156" t="n"/>
      <c r="N40" s="156" t="n"/>
    </row>
    <row r="41">
      <c r="A41" s="151" t="n">
        <v>3</v>
      </c>
      <c r="B41" s="152" t="inlineStr">
        <is>
          <t>Mantener perfil</t>
        </is>
      </c>
      <c r="C41" s="152" t="inlineStr">
        <is>
          <t>profile-service</t>
        </is>
      </c>
      <c r="D41" s="152" t="inlineStr">
        <is>
          <t>Funcional</t>
        </is>
      </c>
      <c r="E41" s="151" t="n">
        <v>11</v>
      </c>
      <c r="F41" s="152" t="inlineStr">
        <is>
          <t>Asignación de reputación (Rating) inicial</t>
        </is>
      </c>
      <c r="G41" s="152" t="inlineStr">
        <is>
          <t>1. Registrar un nuevo usuario (trabajador o empresa).</t>
        </is>
      </c>
      <c r="H41" s="152" t="inlineStr">
        <is>
          <t>ID de usuario recién registrado</t>
        </is>
      </c>
      <c r="I41" s="152" t="inlineStr">
        <is>
          <t>Registro de usuario completado.</t>
        </is>
      </c>
      <c r="J41" s="151" t="inlineStr">
        <is>
          <t>OK</t>
        </is>
      </c>
      <c r="K41" s="158" t="n"/>
      <c r="L41" s="158" t="n"/>
      <c r="M41" s="158" t="n"/>
      <c r="N41" s="159" t="inlineStr">
        <is>
          <t>Verificación de la asignación por defecto del rating al crear perfiles.</t>
        </is>
      </c>
    </row>
    <row r="42">
      <c r="A42" s="156" t="n"/>
      <c r="B42" s="156" t="n"/>
      <c r="C42" s="156" t="n"/>
      <c r="D42" s="156" t="n"/>
      <c r="E42" s="156" t="n"/>
      <c r="F42" s="156" t="n"/>
      <c r="G42" s="152" t="inlineStr">
        <is>
          <t>2. Consultar el perfil recién creado.</t>
        </is>
      </c>
      <c r="H42" s="156" t="n"/>
      <c r="I42" s="152" t="inlineStr">
        <is>
          <t>El perfil se inicializa con un rating predeterminado de 5.0.</t>
        </is>
      </c>
      <c r="J42" s="156" t="n"/>
      <c r="K42" s="156" t="n"/>
      <c r="L42" s="156" t="n"/>
      <c r="M42" s="156" t="n"/>
      <c r="N42" s="156" t="n"/>
    </row>
    <row r="43">
      <c r="A43" s="151" t="n">
        <v>4</v>
      </c>
      <c r="B43" s="152" t="inlineStr">
        <is>
          <t>Publicar oferta</t>
        </is>
      </c>
      <c r="C43" s="152" t="inlineStr">
        <is>
          <t>jobs-service</t>
        </is>
      </c>
      <c r="D43" s="152" t="inlineStr">
        <is>
          <t>Funcional</t>
        </is>
      </c>
      <c r="E43" s="151" t="n">
        <v>12</v>
      </c>
      <c r="F43" s="152" t="inlineStr">
        <is>
          <t>Publicar oferta de trabajo exitosamente</t>
        </is>
      </c>
      <c r="G43" s="152" t="inlineStr">
        <is>
          <t>1. Iniciar sesión como Empresa e ir a 'Publicar Oferta'.</t>
        </is>
      </c>
      <c r="H43" s="152" t="inlineStr">
        <is>
          <t>Título: Auxiliar de Bodega, Rubro: Logística, Horario: 08:00 a 16:00, Tarifa: $4000/hr, Ubicación: Maipú (lat/lng), Descripción: Se requiere apoyo en inventario.</t>
        </is>
      </c>
      <c r="I43" s="152" t="inlineStr">
        <is>
          <t>Se muestra el formulario de publicación.</t>
        </is>
      </c>
      <c r="J43" s="151" t="inlineStr">
        <is>
          <t>OK</t>
        </is>
      </c>
      <c r="K43" s="158" t="n"/>
      <c r="L43" s="158" t="n"/>
      <c r="M43" s="158" t="n"/>
      <c r="N43" s="159" t="inlineStr">
        <is>
          <t>Publicación correcta de una oferta laboral temporal georreferenciada.</t>
        </is>
      </c>
    </row>
    <row r="44">
      <c r="A44" s="154" t="n"/>
      <c r="B44" s="154" t="n"/>
      <c r="C44" s="154" t="n"/>
      <c r="D44" s="154" t="n"/>
      <c r="E44" s="154" t="n"/>
      <c r="F44" s="154" t="n"/>
      <c r="G44" s="152" t="inlineStr">
        <is>
          <t>2. Ingresar título, rubro, horario, tarifa por hora, ubicación y descripción.</t>
        </is>
      </c>
      <c r="H44" s="154" t="n"/>
      <c r="I44" s="152" t="inlineStr">
        <is>
          <t>Campos ingresados correctamente.</t>
        </is>
      </c>
      <c r="J44" s="154" t="n"/>
      <c r="K44" s="154" t="n"/>
      <c r="L44" s="154" t="n"/>
      <c r="M44" s="154" t="n"/>
      <c r="N44" s="154" t="n"/>
    </row>
    <row r="45">
      <c r="A45" s="156" t="n"/>
      <c r="B45" s="156" t="n"/>
      <c r="C45" s="156" t="n"/>
      <c r="D45" s="156" t="n"/>
      <c r="E45" s="156" t="n"/>
      <c r="F45" s="156" t="n"/>
      <c r="G45" s="152" t="inlineStr">
        <is>
          <t>3. Presionar 'Publicar'.</t>
        </is>
      </c>
      <c r="H45" s="156" t="n"/>
      <c r="I45" s="152" t="inlineStr">
        <is>
          <t>La oferta se crea en estado 'Activa' y se hace visible para los trabajadores en su dashboard.</t>
        </is>
      </c>
      <c r="J45" s="156" t="n"/>
      <c r="K45" s="156" t="n"/>
      <c r="L45" s="156" t="n"/>
      <c r="M45" s="156" t="n"/>
      <c r="N45" s="156" t="n"/>
    </row>
    <row r="46">
      <c r="A46" s="151" t="n">
        <v>4</v>
      </c>
      <c r="B46" s="152" t="inlineStr">
        <is>
          <t>Publicar oferta</t>
        </is>
      </c>
      <c r="C46" s="152" t="inlineStr">
        <is>
          <t>jobs-service</t>
        </is>
      </c>
      <c r="D46" s="152" t="inlineStr">
        <is>
          <t>Funcional</t>
        </is>
      </c>
      <c r="E46" s="151" t="n">
        <v>13</v>
      </c>
      <c r="F46" s="152" t="inlineStr">
        <is>
          <t>Publicar oferta fallida por tarifa inválida</t>
        </is>
      </c>
      <c r="G46" s="152" t="inlineStr">
        <is>
          <t>1. Ir al formulario de 'Publicar Oferta'.</t>
        </is>
      </c>
      <c r="H46" s="152" t="inlineStr">
        <is>
          <t>Tarifa: -500, Título: Limpieza Bodega</t>
        </is>
      </c>
      <c r="I46" s="152" t="inlineStr">
        <is>
          <t>Se despliega el formulario.</t>
        </is>
      </c>
      <c r="J46" s="151" t="inlineStr">
        <is>
          <t>OK</t>
        </is>
      </c>
      <c r="K46" s="158" t="n"/>
      <c r="L46" s="158" t="n"/>
      <c r="M46" s="158" t="n"/>
      <c r="N46" s="159" t="inlineStr">
        <is>
          <t>Control de montos mínimos y valores de tarifa en ofertas de empleo.</t>
        </is>
      </c>
    </row>
    <row r="47">
      <c r="A47" s="154" t="n"/>
      <c r="B47" s="154" t="n"/>
      <c r="C47" s="154" t="n"/>
      <c r="D47" s="154" t="n"/>
      <c r="E47" s="154" t="n"/>
      <c r="F47" s="154" t="n"/>
      <c r="G47" s="152" t="inlineStr">
        <is>
          <t>2. Completar datos con tarifa negativa o igual a cero.</t>
        </is>
      </c>
      <c r="H47" s="154" t="n"/>
      <c r="I47" s="152" t="inlineStr">
        <is>
          <t>Se ingresa el valor negativo.</t>
        </is>
      </c>
      <c r="J47" s="154" t="n"/>
      <c r="K47" s="154" t="n"/>
      <c r="L47" s="154" t="n"/>
      <c r="M47" s="154" t="n"/>
      <c r="N47" s="154" t="n"/>
    </row>
    <row r="48">
      <c r="A48" s="156" t="n"/>
      <c r="B48" s="156" t="n"/>
      <c r="C48" s="156" t="n"/>
      <c r="D48" s="156" t="n"/>
      <c r="E48" s="156" t="n"/>
      <c r="F48" s="156" t="n"/>
      <c r="G48" s="152" t="inlineStr">
        <is>
          <t>3. Presionar 'Publicar'.</t>
        </is>
      </c>
      <c r="H48" s="156" t="n"/>
      <c r="I48" s="152" t="inlineStr">
        <is>
          <t>El sistema muestra un mensaje de validación y bloquea el botón de publicar.</t>
        </is>
      </c>
      <c r="J48" s="156" t="n"/>
      <c r="K48" s="156" t="n"/>
      <c r="L48" s="156" t="n"/>
      <c r="M48" s="156" t="n"/>
      <c r="N48" s="156" t="n"/>
    </row>
    <row r="49">
      <c r="A49" s="151" t="n">
        <v>5</v>
      </c>
      <c r="B49" s="152" t="inlineStr">
        <is>
          <t>Postular a oferta</t>
        </is>
      </c>
      <c r="C49" s="152" t="inlineStr">
        <is>
          <t>jobs-service</t>
        </is>
      </c>
      <c r="D49" s="152" t="inlineStr">
        <is>
          <t>Funcional</t>
        </is>
      </c>
      <c r="E49" s="151" t="n">
        <v>14</v>
      </c>
      <c r="F49" s="152" t="inlineStr">
        <is>
          <t>Postulación exitosa a oferta laboral</t>
        </is>
      </c>
      <c r="G49" s="152" t="inlineStr">
        <is>
          <t>1. Iniciar sesión como Trabajador.</t>
        </is>
      </c>
      <c r="H49" s="152" t="inlineStr">
        <is>
          <t>ID de Oferta: 101, ID de Trabajador: 5</t>
        </is>
      </c>
      <c r="I49" s="152" t="inlineStr">
        <is>
          <t>Acceso al listado de ofertas.</t>
        </is>
      </c>
      <c r="J49" s="151" t="inlineStr">
        <is>
          <t>OK</t>
        </is>
      </c>
      <c r="K49" s="158" t="n"/>
      <c r="L49" s="158" t="n"/>
      <c r="M49" s="158" t="n"/>
      <c r="N49" s="159" t="inlineStr">
        <is>
          <t>Registro correcto de la postulación de un trabajador a una oferta.</t>
        </is>
      </c>
    </row>
    <row r="50">
      <c r="A50" s="156" t="n"/>
      <c r="B50" s="156" t="n"/>
      <c r="C50" s="156" t="n"/>
      <c r="D50" s="156" t="n"/>
      <c r="E50" s="156" t="n"/>
      <c r="F50" s="156" t="n"/>
      <c r="G50" s="152" t="inlineStr">
        <is>
          <t>2. Buscar una oferta de trabajo activa y presionar 'Postular'.</t>
        </is>
      </c>
      <c r="H50" s="156" t="n"/>
      <c r="I50" s="152" t="inlineStr">
        <is>
          <t>La postulación se registra en la base de datos con estado 'Pendiente' y el botón cambia a 'Postulado'.</t>
        </is>
      </c>
      <c r="J50" s="156" t="n"/>
      <c r="K50" s="156" t="n"/>
      <c r="L50" s="156" t="n"/>
      <c r="M50" s="156" t="n"/>
      <c r="N50" s="156" t="n"/>
    </row>
    <row r="51">
      <c r="A51" s="151" t="n">
        <v>5</v>
      </c>
      <c r="B51" s="152" t="inlineStr">
        <is>
          <t>Postular a oferta</t>
        </is>
      </c>
      <c r="C51" s="152" t="inlineStr">
        <is>
          <t>jobs-service</t>
        </is>
      </c>
      <c r="D51" s="152" t="inlineStr">
        <is>
          <t>Funcional</t>
        </is>
      </c>
      <c r="E51" s="151" t="n">
        <v>15</v>
      </c>
      <c r="F51" s="152" t="inlineStr">
        <is>
          <t>Visualización de postulaciones del Trabajador</t>
        </is>
      </c>
      <c r="G51" s="152" t="inlineStr">
        <is>
          <t>1. Iniciar sesión como Trabajador e ir a 'Mis Postulaciones'.</t>
        </is>
      </c>
      <c r="H51" s="152" t="inlineStr">
        <is>
          <t>Trabajador autenticado</t>
        </is>
      </c>
      <c r="I51" s="152" t="inlineStr">
        <is>
          <t>Se muestra la pantalla de postulaciones.</t>
        </is>
      </c>
      <c r="J51" s="151" t="inlineStr">
        <is>
          <t>OK</t>
        </is>
      </c>
      <c r="K51" s="158" t="n"/>
      <c r="L51" s="158" t="n"/>
      <c r="M51" s="158" t="n"/>
      <c r="N51" s="159" t="inlineStr">
        <is>
          <t>Monitoreo del estado de las postulaciones por parte del trabajador.</t>
        </is>
      </c>
    </row>
    <row r="52">
      <c r="A52" s="156" t="n"/>
      <c r="B52" s="156" t="n"/>
      <c r="C52" s="156" t="n"/>
      <c r="D52" s="156" t="n"/>
      <c r="E52" s="156" t="n"/>
      <c r="F52" s="156" t="n"/>
      <c r="G52" s="152" t="inlineStr">
        <is>
          <t>2. Revisar el estado de cada postulación.</t>
        </is>
      </c>
      <c r="H52" s="156" t="n"/>
      <c r="I52" s="152" t="inlineStr">
        <is>
          <t>Se listan las ofertas postuladas con su estado (Pendiente, Aceptado o Rechazado) actualizado.</t>
        </is>
      </c>
      <c r="J52" s="156" t="n"/>
      <c r="K52" s="156" t="n"/>
      <c r="L52" s="156" t="n"/>
      <c r="M52" s="156" t="n"/>
      <c r="N52" s="156" t="n"/>
    </row>
    <row r="53">
      <c r="A53" s="151" t="n">
        <v>5</v>
      </c>
      <c r="B53" s="152" t="inlineStr">
        <is>
          <t>Postular a oferta</t>
        </is>
      </c>
      <c r="C53" s="152" t="inlineStr">
        <is>
          <t>jobs-service</t>
        </is>
      </c>
      <c r="D53" s="152" t="inlineStr">
        <is>
          <t>Funcional</t>
        </is>
      </c>
      <c r="E53" s="151" t="n">
        <v>16</v>
      </c>
      <c r="F53" s="152" t="inlineStr">
        <is>
          <t>Gestión de postulantes por la Empresa</t>
        </is>
      </c>
      <c r="G53" s="152" t="inlineStr">
        <is>
          <t>1. Iniciar sesión como Empresa e ir al detalle de una oferta publicada.</t>
        </is>
      </c>
      <c r="H53" s="152" t="inlineStr">
        <is>
          <t>Candidato: Juan Pérez, Oferta: Auxiliar de Bodega</t>
        </is>
      </c>
      <c r="I53" s="152" t="inlineStr">
        <is>
          <t>Se visualiza la lista de candidatos con sus datos básicos.</t>
        </is>
      </c>
      <c r="J53" s="151" t="inlineStr">
        <is>
          <t>OK</t>
        </is>
      </c>
      <c r="K53" s="158" t="n"/>
      <c r="L53" s="158" t="n"/>
      <c r="M53" s="158" t="n"/>
      <c r="N53" s="159" t="inlineStr">
        <is>
          <t>Evaluación y selección de candidatos para un turno temporal.</t>
        </is>
      </c>
    </row>
    <row r="54">
      <c r="A54" s="156" t="n"/>
      <c r="B54" s="156" t="n"/>
      <c r="C54" s="156" t="n"/>
      <c r="D54" s="156" t="n"/>
      <c r="E54" s="156" t="n"/>
      <c r="F54" s="156" t="n"/>
      <c r="G54" s="152" t="inlineStr">
        <is>
          <t>2. Ver lista de candidatos y presionar 'Aceptar' o 'Rechazar' en uno de ellos.</t>
        </is>
      </c>
      <c r="H54" s="156" t="n"/>
      <c r="I54" s="152" t="inlineStr">
        <is>
          <t>El estado del candidato cambia a 'Aceptado' / 'Rechazado' en pantalla y se actualiza en la BD.</t>
        </is>
      </c>
      <c r="J54" s="156" t="n"/>
      <c r="K54" s="156" t="n"/>
      <c r="L54" s="156" t="n"/>
      <c r="M54" s="156" t="n"/>
      <c r="N54" s="156" t="n"/>
    </row>
    <row r="55">
      <c r="A55" s="151" t="n">
        <v>6</v>
      </c>
      <c r="B55" s="152" t="inlineStr">
        <is>
          <t>Generar matching</t>
        </is>
      </c>
      <c r="C55" s="152" t="inlineStr">
        <is>
          <t>matching-service</t>
        </is>
      </c>
      <c r="D55" s="152" t="inlineStr">
        <is>
          <t>Funcional</t>
        </is>
      </c>
      <c r="E55" s="151" t="n">
        <v>17</v>
      </c>
      <c r="F55" s="152" t="inlineStr">
        <is>
          <t>Cálculo de scoring por matching automatizado</t>
        </is>
      </c>
      <c r="G55" s="152" t="inlineStr">
        <is>
          <t>1. Crear una oferta con requisitos específicos y ubicación.</t>
        </is>
      </c>
      <c r="H55" s="152" t="inlineStr">
        <is>
          <t>Habilidades oferta: Electricidad; Ubicación: Santiago Centro. Trabajador: Electricidad; Ubicación: Estación Central (a 5 km)</t>
        </is>
      </c>
      <c r="I55" s="152" t="inlineStr">
        <is>
          <t>Oferta y postulación creadas.</t>
        </is>
      </c>
      <c r="J55" s="151" t="inlineStr">
        <is>
          <t>OK</t>
        </is>
      </c>
      <c r="K55" s="158" t="n"/>
      <c r="L55" s="158" t="n"/>
      <c r="M55" s="158" t="n"/>
      <c r="N55" s="159" t="inlineStr">
        <is>
          <t>Funcionamiento correcto del motor de emparejamiento basado en reglas de distancia y habilidades.</t>
        </is>
      </c>
    </row>
    <row r="56">
      <c r="A56" s="154" t="n"/>
      <c r="B56" s="154" t="n"/>
      <c r="C56" s="154" t="n"/>
      <c r="D56" s="154" t="n"/>
      <c r="E56" s="154" t="n"/>
      <c r="F56" s="154" t="n"/>
      <c r="G56" s="152" t="inlineStr">
        <is>
          <t>2. Postular con un trabajador cuyas habilidades y ubicación coincidan parcialmente.</t>
        </is>
      </c>
      <c r="H56" s="154" t="n"/>
      <c r="I56" s="152" t="inlineStr">
        <is>
          <t>Postulación registrada.</t>
        </is>
      </c>
      <c r="J56" s="154" t="n"/>
      <c r="K56" s="154" t="n"/>
      <c r="L56" s="154" t="n"/>
      <c r="M56" s="154" t="n"/>
      <c r="N56" s="154" t="n"/>
    </row>
    <row r="57">
      <c r="A57" s="156" t="n"/>
      <c r="B57" s="156" t="n"/>
      <c r="C57" s="156" t="n"/>
      <c r="D57" s="156" t="n"/>
      <c r="E57" s="156" t="n"/>
      <c r="F57" s="156" t="n"/>
      <c r="G57" s="152" t="inlineStr">
        <is>
          <t>3. Verificar el valor de score asignado por el sistema en la base de datos.</t>
        </is>
      </c>
      <c r="H57" s="156" t="n"/>
      <c r="I57" s="152" t="inlineStr">
        <is>
          <t>El motor calcula un score de compatibilidad (ej. 85%) basado en distancia y habilidades coincidentes.</t>
        </is>
      </c>
      <c r="J57" s="156" t="n"/>
      <c r="K57" s="156" t="n"/>
      <c r="L57" s="156" t="n"/>
      <c r="M57" s="156" t="n"/>
      <c r="N57" s="156" t="n"/>
    </row>
    <row r="58">
      <c r="A58" s="151" t="n">
        <v>6</v>
      </c>
      <c r="B58" s="152" t="inlineStr">
        <is>
          <t>Generar matching</t>
        </is>
      </c>
      <c r="C58" s="152" t="inlineStr">
        <is>
          <t>matching-service</t>
        </is>
      </c>
      <c r="D58" s="152" t="inlineStr">
        <is>
          <t>Funcional</t>
        </is>
      </c>
      <c r="E58" s="151" t="n">
        <v>18</v>
      </c>
      <c r="F58" s="152" t="inlineStr">
        <is>
          <t>Visualización de sugerencias de trabajadores recomendados</t>
        </is>
      </c>
      <c r="G58" s="152" t="inlineStr">
        <is>
          <t>1. Iniciar sesión como Empresa.</t>
        </is>
      </c>
      <c r="H58" s="152" t="inlineStr">
        <is>
          <t>Oferta con candidatos disponibles</t>
        </is>
      </c>
      <c r="I58" s="152" t="inlineStr">
        <is>
          <t>Carga del panel de candidatos.</t>
        </is>
      </c>
      <c r="J58" s="151" t="inlineStr">
        <is>
          <t>OK</t>
        </is>
      </c>
      <c r="K58" s="158" t="n"/>
      <c r="L58" s="158" t="n"/>
      <c r="M58" s="158" t="n"/>
      <c r="N58" s="159" t="inlineStr">
        <is>
          <t>Presentación ordenada de candidatos sugeridos para optimizar la contratación.</t>
        </is>
      </c>
    </row>
    <row r="59">
      <c r="A59" s="156" t="n"/>
      <c r="B59" s="156" t="n"/>
      <c r="C59" s="156" t="n"/>
      <c r="D59" s="156" t="n"/>
      <c r="E59" s="156" t="n"/>
      <c r="F59" s="156" t="n"/>
      <c r="G59" s="152" t="inlineStr">
        <is>
          <t>2. Ingresar a la sección de 'Candidatos Recomendados' de una oferta.</t>
        </is>
      </c>
      <c r="H59" s="156" t="n"/>
      <c r="I59" s="152" t="inlineStr">
        <is>
          <t>Los candidatos se muestran ordenados de mayor a menor según su matching score de forma descendente.</t>
        </is>
      </c>
      <c r="J59" s="156" t="n"/>
      <c r="K59" s="156" t="n"/>
      <c r="L59" s="156" t="n"/>
      <c r="M59" s="156" t="n"/>
      <c r="N59" s="156" t="n"/>
    </row>
    <row r="60">
      <c r="A60" s="151" t="n">
        <v>7</v>
      </c>
      <c r="B60" s="152" t="inlineStr">
        <is>
          <t>Dashboard diferenciado</t>
        </is>
      </c>
      <c r="C60" s="152" t="inlineStr">
        <is>
          <t>frontend web</t>
        </is>
      </c>
      <c r="D60" s="152" t="inlineStr">
        <is>
          <t>Funcional</t>
        </is>
      </c>
      <c r="E60" s="151" t="n">
        <v>19</v>
      </c>
      <c r="F60" s="152" t="inlineStr">
        <is>
          <t>Acceso a Dashboard de Trabajador</t>
        </is>
      </c>
      <c r="G60" s="152" t="inlineStr">
        <is>
          <t>1. Iniciar sesión como Trabajador.</t>
        </is>
      </c>
      <c r="H60" s="152" t="inlineStr">
        <is>
          <t>Rol: Trabajador</t>
        </is>
      </c>
      <c r="I60" s="152" t="inlineStr">
        <is>
          <t>Inicio de sesión exitoso.</t>
        </is>
      </c>
      <c r="J60" s="151" t="inlineStr">
        <is>
          <t>OK</t>
        </is>
      </c>
      <c r="K60" s="158" t="n"/>
      <c r="L60" s="158" t="n"/>
      <c r="M60" s="158" t="n"/>
      <c r="N60" s="159" t="inlineStr">
        <is>
          <t>Restricción de vistas y presentación de información específica para el trabajador.</t>
        </is>
      </c>
    </row>
    <row r="61">
      <c r="A61" s="156" t="n"/>
      <c r="B61" s="156" t="n"/>
      <c r="C61" s="156" t="n"/>
      <c r="D61" s="156" t="n"/>
      <c r="E61" s="156" t="n"/>
      <c r="F61" s="156" t="n"/>
      <c r="G61" s="152" t="inlineStr">
        <is>
          <t>2. Verificar las secciones visibles en el dashboard principal.</t>
        </is>
      </c>
      <c r="H61" s="156" t="n"/>
      <c r="I61" s="152" t="inlineStr">
        <is>
          <t>Se visualizan ofertas sugeridas, mapa de geolocalización y postulaciones activas. No se muestran opciones de empresa.</t>
        </is>
      </c>
      <c r="J61" s="156" t="n"/>
      <c r="K61" s="156" t="n"/>
      <c r="L61" s="156" t="n"/>
      <c r="M61" s="156" t="n"/>
      <c r="N61" s="156" t="n"/>
    </row>
    <row r="62">
      <c r="A62" s="151" t="n">
        <v>7</v>
      </c>
      <c r="B62" s="152" t="inlineStr">
        <is>
          <t>Dashboard diferenciado</t>
        </is>
      </c>
      <c r="C62" s="152" t="inlineStr">
        <is>
          <t>frontend web</t>
        </is>
      </c>
      <c r="D62" s="152" t="inlineStr">
        <is>
          <t>Funcional</t>
        </is>
      </c>
      <c r="E62" s="151" t="n">
        <v>20</v>
      </c>
      <c r="F62" s="152" t="inlineStr">
        <is>
          <t>Acceso a Dashboard de Empresa</t>
        </is>
      </c>
      <c r="G62" s="152" t="inlineStr">
        <is>
          <t>1. Iniciar sesión como Empresa.</t>
        </is>
      </c>
      <c r="H62" s="152" t="inlineStr">
        <is>
          <t>Rol: Empresa</t>
        </is>
      </c>
      <c r="I62" s="152" t="inlineStr">
        <is>
          <t>Inicio de sesión exitoso.</t>
        </is>
      </c>
      <c r="J62" s="151" t="inlineStr">
        <is>
          <t>OK</t>
        </is>
      </c>
      <c r="K62" s="158" t="n"/>
      <c r="L62" s="158" t="n"/>
      <c r="M62" s="158" t="n"/>
      <c r="N62" s="159" t="inlineStr">
        <is>
          <t>Presentación del panel operativo enfocado en reclutamiento de empresas.</t>
        </is>
      </c>
    </row>
    <row r="63">
      <c r="A63" s="156" t="n"/>
      <c r="B63" s="156" t="n"/>
      <c r="C63" s="156" t="n"/>
      <c r="D63" s="156" t="n"/>
      <c r="E63" s="156" t="n"/>
      <c r="F63" s="156" t="n"/>
      <c r="G63" s="152" t="inlineStr">
        <is>
          <t>2. Verificar las secciones visibles en el panel.</t>
        </is>
      </c>
      <c r="H63" s="156" t="n"/>
      <c r="I63" s="152" t="inlineStr">
        <is>
          <t>Se visualizan opciones de 'Publicar nueva oferta', 'Lista de ofertas publicadas' e informes de postulantes activos.</t>
        </is>
      </c>
      <c r="J63" s="156" t="n"/>
      <c r="K63" s="156" t="n"/>
      <c r="L63" s="156" t="n"/>
      <c r="M63" s="156" t="n"/>
      <c r="N63" s="156" t="n"/>
    </row>
    <row r="64">
      <c r="A64" s="151" t="n">
        <v>8</v>
      </c>
      <c r="B64" s="152" t="inlineStr">
        <is>
          <t>Notificaciones</t>
        </is>
      </c>
      <c r="C64" s="152" t="inlineStr">
        <is>
          <t>Redis / frontend</t>
        </is>
      </c>
      <c r="D64" s="152" t="inlineStr">
        <is>
          <t>Funcional</t>
        </is>
      </c>
      <c r="E64" s="151" t="n">
        <v>21</v>
      </c>
      <c r="F64" s="152" t="inlineStr">
        <is>
          <t>Notificación de cambio de estado de postulación</t>
        </is>
      </c>
      <c r="G64" s="152" t="inlineStr">
        <is>
          <t>1. Empresa acepta la postulación de un Trabajador.</t>
        </is>
      </c>
      <c r="H64" s="152" t="inlineStr">
        <is>
          <t>Postulación ID: 50, Cambio: Aceptado</t>
        </is>
      </c>
      <c r="I64" s="152" t="inlineStr">
        <is>
          <t>La empresa cambia el estado.</t>
        </is>
      </c>
      <c r="J64" s="151" t="inlineStr">
        <is>
          <t>OK</t>
        </is>
      </c>
      <c r="K64" s="158" t="n"/>
      <c r="L64" s="158" t="n"/>
      <c r="M64" s="158" t="n"/>
      <c r="N64" s="159" t="inlineStr">
        <is>
          <t>Verificación de la entrega inmediata de alertas operativas usando Redis.</t>
        </is>
      </c>
    </row>
    <row r="65">
      <c r="A65" s="154" t="n"/>
      <c r="B65" s="154" t="n"/>
      <c r="C65" s="154" t="n"/>
      <c r="D65" s="154" t="n"/>
      <c r="E65" s="154" t="n"/>
      <c r="F65" s="154" t="n"/>
      <c r="G65" s="152" t="inlineStr">
        <is>
          <t>2. Trabajador se encuentra navegando en la aplicación.</t>
        </is>
      </c>
      <c r="H65" s="154" t="n"/>
      <c r="I65" s="152" t="inlineStr">
        <is>
          <t>El trabajador sigue activo en la sesión.</t>
        </is>
      </c>
      <c r="J65" s="154" t="n"/>
      <c r="K65" s="154" t="n"/>
      <c r="L65" s="154" t="n"/>
      <c r="M65" s="154" t="n"/>
      <c r="N65" s="154" t="n"/>
    </row>
    <row r="66">
      <c r="A66" s="156" t="n"/>
      <c r="B66" s="156" t="n"/>
      <c r="C66" s="156" t="n"/>
      <c r="D66" s="156" t="n"/>
      <c r="E66" s="156" t="n"/>
      <c r="F66" s="156" t="n"/>
      <c r="G66" s="152" t="inlineStr">
        <is>
          <t>3. Verificar la llegada de la notificación en tiempo real.</t>
        </is>
      </c>
      <c r="H66" s="156" t="n"/>
      <c r="I66" s="152" t="inlineStr">
        <is>
          <t>Se despliega una alerta visual instantánea en la pantalla del trabajador informando que fue aceptado.</t>
        </is>
      </c>
      <c r="J66" s="156" t="n"/>
      <c r="K66" s="156" t="n"/>
      <c r="L66" s="156" t="n"/>
      <c r="M66" s="156" t="n"/>
      <c r="N66" s="156" t="n"/>
    </row>
    <row r="67">
      <c r="A67" s="151" t="n">
        <v>8</v>
      </c>
      <c r="B67" s="152" t="inlineStr">
        <is>
          <t>Notificaciones</t>
        </is>
      </c>
      <c r="C67" s="152" t="inlineStr">
        <is>
          <t>Redis / frontend</t>
        </is>
      </c>
      <c r="D67" s="152" t="inlineStr">
        <is>
          <t>Funcional</t>
        </is>
      </c>
      <c r="E67" s="151" t="n">
        <v>22</v>
      </c>
      <c r="F67" s="152" t="inlineStr">
        <is>
          <t>Alertas de sistema y estados operativos</t>
        </is>
      </c>
      <c r="G67" s="152" t="inlineStr">
        <is>
          <t>1. Provocar un error simulado en el Matching Service o Jobs Service.</t>
        </is>
      </c>
      <c r="H67" s="152" t="inlineStr">
        <is>
          <t>Desconexión de servicio backend</t>
        </is>
      </c>
      <c r="I67" s="152" t="inlineStr">
        <is>
          <t>Interrupción de servicio.</t>
        </is>
      </c>
      <c r="J67" s="151" t="inlineStr">
        <is>
          <t>OK</t>
        </is>
      </c>
      <c r="K67" s="158" t="n"/>
      <c r="L67" s="158" t="n"/>
      <c r="M67" s="158" t="n"/>
      <c r="N67" s="159" t="inlineStr">
        <is>
          <t>Gestión de fallas y despliegue de notificaciones de error para el usuario.</t>
        </is>
      </c>
    </row>
    <row r="68">
      <c r="A68" s="156" t="n"/>
      <c r="B68" s="156" t="n"/>
      <c r="C68" s="156" t="n"/>
      <c r="D68" s="156" t="n"/>
      <c r="E68" s="156" t="n"/>
      <c r="F68" s="156" t="n"/>
      <c r="G68" s="152" t="inlineStr">
        <is>
          <t>2. Verificar que se desplieguen alertas de mantenimiento o reintento en el frontend.</t>
        </is>
      </c>
      <c r="H68" s="156" t="n"/>
      <c r="I68" s="152" t="inlineStr">
        <is>
          <t>El frontend detecta la falla de red y muestra un mensaje amigable indicando problemas temporales.</t>
        </is>
      </c>
      <c r="J68" s="156" t="n"/>
      <c r="K68" s="156" t="n"/>
      <c r="L68" s="156" t="n"/>
      <c r="M68" s="156" t="n"/>
      <c r="N68" s="156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</row>
    <row r="110"/>
    <row r="111"/>
    <row r="112"/>
    <row r="113" ht="42.6" customHeight="1"/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</row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autoFilter ref="A12:N13"/>
  <mergeCells count="282">
    <mergeCell ref="F53:F54"/>
    <mergeCell ref="F17:F19"/>
    <mergeCell ref="L64:L66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B22:B24"/>
    <mergeCell ref="D62:D63"/>
    <mergeCell ref="D22:D24"/>
    <mergeCell ref="B31:B33"/>
    <mergeCell ref="K58:K59"/>
    <mergeCell ref="F62:F6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F64:F66"/>
    <mergeCell ref="A14:A16"/>
    <mergeCell ref="K14:K16"/>
    <mergeCell ref="F20:F21"/>
    <mergeCell ref="H49:H50"/>
    <mergeCell ref="D7:I7"/>
    <mergeCell ref="J49:J50"/>
    <mergeCell ref="B58:B59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D67:D6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A7:C7"/>
    <mergeCell ref="N14:N16"/>
    <mergeCell ref="J39:J40"/>
    <mergeCell ref="C49:C50"/>
    <mergeCell ref="K20:K21"/>
    <mergeCell ref="C58:C59"/>
    <mergeCell ref="M49:M50"/>
    <mergeCell ref="M20:M21"/>
    <mergeCell ref="E11:N11"/>
    <mergeCell ref="E58:E59"/>
    <mergeCell ref="E67:E68"/>
    <mergeCell ref="M67:M68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D9:I9"/>
    <mergeCell ref="K25:K27"/>
    <mergeCell ref="C28:C30"/>
    <mergeCell ref="D41:D42"/>
    <mergeCell ref="A64:A66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C14:C16"/>
    <mergeCell ref="L41:L42"/>
    <mergeCell ref="E14:E16"/>
    <mergeCell ref="F39:F40"/>
    <mergeCell ref="B20:B21"/>
    <mergeCell ref="C39:C40"/>
    <mergeCell ref="F55:F57"/>
    <mergeCell ref="D20:D21"/>
    <mergeCell ref="H55:H57"/>
    <mergeCell ref="F49:F50"/>
    <mergeCell ref="C62:C63"/>
    <mergeCell ref="J58:J59"/>
    <mergeCell ref="E62:E63"/>
    <mergeCell ref="D10:I10"/>
    <mergeCell ref="B17:B19"/>
    <mergeCell ref="C31:C33"/>
    <mergeCell ref="H67:H68"/>
    <mergeCell ref="J67:J68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M51:M52"/>
    <mergeCell ref="F28:F30"/>
    <mergeCell ref="K60:K61"/>
    <mergeCell ref="M60:M61"/>
    <mergeCell ref="H28:H30"/>
    <mergeCell ref="J37:J38"/>
    <mergeCell ref="J22:J24"/>
    <mergeCell ref="L37:L38"/>
    <mergeCell ref="D64:D66"/>
    <mergeCell ref="L22:L24"/>
    <mergeCell ref="J31:J33"/>
    <mergeCell ref="N37:N38"/>
    <mergeCell ref="K41:K42"/>
    <mergeCell ref="D14:D16"/>
    <mergeCell ref="L31:L33"/>
    <mergeCell ref="N62:N63"/>
    <mergeCell ref="F14:F16"/>
    <mergeCell ref="N31:N33"/>
    <mergeCell ref="B39:B40"/>
    <mergeCell ref="F67:F68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E28:E30"/>
    <mergeCell ref="F58:F59"/>
    <mergeCell ref="N49:N50"/>
    <mergeCell ref="A62:A63"/>
    <mergeCell ref="C53:C54"/>
    <mergeCell ref="E31:E33"/>
    <mergeCell ref="L43:L45"/>
    <mergeCell ref="E53:E54"/>
    <mergeCell ref="K22:K24"/>
    <mergeCell ref="N43:N45"/>
    <mergeCell ref="B51:B52"/>
    <mergeCell ref="M22:M24"/>
    <mergeCell ref="K31:K33"/>
    <mergeCell ref="D51:D52"/>
    <mergeCell ref="K62:K63"/>
    <mergeCell ref="M31:M33"/>
    <mergeCell ref="D60:D61"/>
    <mergeCell ref="M62:M63"/>
    <mergeCell ref="N51:N52"/>
    <mergeCell ref="F60:F61"/>
    <mergeCell ref="N20:N21"/>
    <mergeCell ref="C37:C38"/>
    <mergeCell ref="B41:B42"/>
    <mergeCell ref="E37:E38"/>
    <mergeCell ref="A46:A48"/>
    <mergeCell ref="K46:K48"/>
    <mergeCell ref="C46:C48"/>
    <mergeCell ref="M28:M30"/>
    <mergeCell ref="E46:E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C20" sqref="C20"/>
    </sheetView>
  </sheetViews>
  <sheetFormatPr baseColWidth="10" defaultColWidth="9.109375" defaultRowHeight="13.2"/>
  <cols>
    <col width="9.109375" customWidth="1" style="29" min="1" max="1"/>
    <col width="31.44140625" bestFit="1" customWidth="1" style="29" min="2" max="2"/>
    <col width="9.109375" customWidth="1" style="29" min="3" max="16384"/>
  </cols>
  <sheetData>
    <row r="1" ht="30" customHeight="1">
      <c r="D1" s="30" t="inlineStr">
        <is>
          <t>Casos de Pruebas Estándar de QA</t>
        </is>
      </c>
    </row>
    <row r="4">
      <c r="B4" s="29" t="inlineStr">
        <is>
          <t>Total Pruebas Estándar OK</t>
        </is>
      </c>
      <c r="C4" s="29">
        <f>COUNTIF('Pruebas Estandar '!D:D, "OK")</f>
        <v/>
      </c>
    </row>
    <row r="5">
      <c r="B5" s="29" t="inlineStr">
        <is>
          <t>Total  Pruebas Estándar NO CUMPLE</t>
        </is>
      </c>
      <c r="C5" s="29">
        <f>COUNTIF('Pruebas Estandar '!D:D, "NC")</f>
        <v/>
      </c>
    </row>
    <row r="6">
      <c r="B6" s="29" t="inlineStr">
        <is>
          <t>Total  Pruebas Estándar NO APLICA</t>
        </is>
      </c>
      <c r="C6" s="29">
        <f>COUNTIF('Pruebas Estandar '!D:D, "NA")</f>
        <v/>
      </c>
    </row>
    <row r="11">
      <c r="B11" s="29" t="inlineStr">
        <is>
          <t>Total casos de Prueba</t>
        </is>
      </c>
      <c r="C11" s="29" t="n">
        <v>22</v>
      </c>
    </row>
    <row r="12">
      <c r="B12" s="29" t="inlineStr">
        <is>
          <t>Total casos de Prueba OK</t>
        </is>
      </c>
      <c r="C12" s="29" t="n">
        <v>22</v>
      </c>
    </row>
    <row r="13">
      <c r="B13" s="29" t="inlineStr">
        <is>
          <t>Total casos de Prueba NO OK</t>
        </is>
      </c>
      <c r="C13" s="29" t="n">
        <v>0</v>
      </c>
    </row>
    <row r="14">
      <c r="B14" s="29" t="inlineStr">
        <is>
          <t>Total casos de Prueba NO Aplica</t>
        </is>
      </c>
      <c r="C14" s="29" t="n">
        <v>0</v>
      </c>
    </row>
    <row r="15">
      <c r="B15" s="29" t="inlineStr">
        <is>
          <t>Total casos de Prueba No revisados</t>
        </is>
      </c>
      <c r="C15" s="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2026-06-09T03:19:51Z</dcterms:modified>
  <cp:lastModifiedBy>Victoria Acevedo 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